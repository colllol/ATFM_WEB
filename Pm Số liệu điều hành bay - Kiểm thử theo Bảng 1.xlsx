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\QLB\TrienKhai\ATFM_WEB\"/>
    </mc:Choice>
  </mc:AlternateContent>
  <bookViews>
    <workbookView xWindow="0" yWindow="0" windowWidth="20490" windowHeight="7755"/>
  </bookViews>
  <sheets>
    <sheet name="Trang tính1" sheetId="1" r:id="rId1"/>
  </sheets>
  <calcPr calcId="152511"/>
</workbook>
</file>

<file path=xl/calcChain.xml><?xml version="1.0" encoding="utf-8"?>
<calcChain xmlns="http://schemas.openxmlformats.org/spreadsheetml/2006/main">
  <c r="K3" i="1" l="1"/>
  <c r="J3" i="1" s="1"/>
  <c r="H3" i="1"/>
  <c r="G3" i="1"/>
  <c r="F3" i="1"/>
  <c r="E3" i="1"/>
  <c r="D3" i="1"/>
  <c r="I3" i="1" s="1"/>
  <c r="O2" i="1"/>
  <c r="N2" i="1"/>
  <c r="M2" i="1"/>
  <c r="L2" i="1"/>
  <c r="K2" i="1"/>
  <c r="J2" i="1" s="1"/>
  <c r="H2" i="1"/>
  <c r="G2" i="1"/>
  <c r="F2" i="1"/>
  <c r="E2" i="1"/>
  <c r="D2" i="1"/>
  <c r="I2" i="1" s="1"/>
</calcChain>
</file>

<file path=xl/sharedStrings.xml><?xml version="1.0" encoding="utf-8"?>
<sst xmlns="http://schemas.openxmlformats.org/spreadsheetml/2006/main" count="515" uniqueCount="444">
  <si>
    <t>Đạt</t>
  </si>
  <si>
    <t>Không đạt</t>
  </si>
  <si>
    <t>Không kiểm thử được</t>
  </si>
  <si>
    <t>Cần confirm</t>
  </si>
  <si>
    <t>Ảnh hưởng</t>
  </si>
  <si>
    <t>Đã kiểm thử</t>
  </si>
  <si>
    <t>Còn lại/ Cần cải thiện</t>
  </si>
  <si>
    <t>Tổng tình huống kiểm thử</t>
  </si>
  <si>
    <t>Hoàn thành</t>
  </si>
  <si>
    <t>Reject</t>
  </si>
  <si>
    <t>Đang kiểm tra</t>
  </si>
  <si>
    <t>Đã phản hồi</t>
  </si>
  <si>
    <t>Lần 1</t>
  </si>
  <si>
    <t>Lần 2</t>
  </si>
  <si>
    <t>STT</t>
  </si>
  <si>
    <t>Tên Use case</t>
  </si>
  <si>
    <t>Tác nhân</t>
  </si>
  <si>
    <t>Giao dịch
 (Transaction)</t>
  </si>
  <si>
    <t>Mô tả các bước thực hiện kiểm thử</t>
  </si>
  <si>
    <t>Kết Quả Mong Đợi</t>
  </si>
  <si>
    <t>Kết Quả Thực tế</t>
  </si>
  <si>
    <t>VSD comment</t>
  </si>
  <si>
    <t>Tự động cập nhật dữ liệu từ email và thư mục lưu trữ</t>
  </si>
  <si>
    <t>Job hệ thống; Máy chủ thư điện tử; Hệ thống file; Quản trị viên; Người khai thác</t>
  </si>
  <si>
    <t>2</t>
  </si>
  <si>
    <t>3</t>
  </si>
  <si>
    <t>4</t>
  </si>
  <si>
    <t>5</t>
  </si>
  <si>
    <t>6</t>
  </si>
  <si>
    <t>7</t>
  </si>
  <si>
    <t>1</t>
  </si>
  <si>
    <t>NHÓM 1: TÍCH HỢP &amp; TỰ ĐỘNG HÓA DỮ LIỆU; Phân loại: Dữ liệu đầu ra</t>
  </si>
  <si>
    <t>1. Chuẩn bị dữ liệu và quyền phù hợp cho yêu cầu số 1.
2. Thực hiện chuỗi nghiệp vụ: System kiểm tra thư mục theo lịch trình → Phát hiện file mới → Validate định dạng → Parse dữ liệu → Cập nhật vào CSDL → Ghi log và thông báo kết quả.
3. Kiểm tra dữ liệu đầu vào/đầu ra, giao diện, trạng thái, hiệu năng và trường hợp lỗi; đối chiếu nhật ký kiểm toán.</t>
  </si>
  <si>
    <t>Hệ thống thực hiện đúng yêu cầu số 1, tạo đầu ra/trạng thái theo mô tả; dữ liệu được kiểm tra nhất quán, lỗi được cảnh báo/xử lý an toàn, phân quyền được áp dụng và thao tác được ghi log.</t>
  </si>
  <si>
    <t>Yêu cầu Bảng 1 số 2: File lỗi định dạng → Hệ thống chuyển vào thư mục error và gửi cảnh báo cho Admin</t>
  </si>
  <si>
    <t>NHÓM 1: TÍCH HỢP &amp; TỰ ĐỘNG HÓA DỮ LIỆU; Phân loại: Dữ liệu đầu vào</t>
  </si>
  <si>
    <t>Kiểm thử yêu cầu Bảng 1 số 2</t>
  </si>
  <si>
    <t>1. Chuẩn bị dữ liệu và quyền phù hợp cho yêu cầu số 2.
2. Thực hiện chuỗi nghiệp vụ: File lỗi định dạng → Hệ thống chuyển vào thư mục error và gửi cảnh báo cho Admin.
3. Kiểm tra dữ liệu đầu vào/đầu ra, giao diện, trạng thái, hiệu năng và trường hợp lỗi; đối chiếu nhật ký kiểm toán.</t>
  </si>
  <si>
    <t>Hệ thống thực hiện đúng yêu cầu số 2, tạo đầu ra/trạng thái theo mô tả; dữ liệu được kiểm tra nhất quán, lỗi được cảnh báo/xử lý an toàn, phân quyền được áp dụng và thao tác được ghi log.</t>
  </si>
  <si>
    <t>Yêu cầu Bảng 1 số 3: Nhận file dữ liệu ADS-B → Match với kế hoạch bay → Cập nhật trạng thái O/F → Hiển thị real-time trên map/dashboard</t>
  </si>
  <si>
    <t>NHÓM 1: TÍCH HỢP &amp; TỰ ĐỘNG HÓA DỮ LIỆU; Phân loại: Dữ liệu đầu vào/ra</t>
  </si>
  <si>
    <t>Kiểm thử yêu cầu Bảng 1 số 3</t>
  </si>
  <si>
    <t>1. Chuẩn bị dữ liệu và quyền phù hợp cho yêu cầu số 3.
2. Thực hiện chuỗi nghiệp vụ: Nhận file dữ liệu ADS-B → Match với kế hoạch bay → Cập nhật trạng thái O/F → Hiển thị real-time trên map/dashboard.
3. Kiểm tra dữ liệu đầu vào/đầu ra, giao diện, trạng thái, hiệu năng và trường hợp lỗi; đối chiếu nhật ký kiểm toán.</t>
  </si>
  <si>
    <t>Hệ thống thực hiện đúng yêu cầu số 3, tạo đầu ra/trạng thái theo mô tả; dữ liệu được kiểm tra nhất quán, lỗi được cảnh báo/xử lý an toàn, phân quyền được áp dụng và thao tác được ghi log.</t>
  </si>
  <si>
    <t>Yêu cầu Bảng 1 số 4: Nhập thông tin chuyến bay SLOT → Nhập thông tin kế hoạch ngày của hãng → Kiểm tra trùng/khả dụng → Đưa ra danh sách chuyên bay không diễn ra → Xác nhận và lưu vào kế hoạch</t>
  </si>
  <si>
    <t>Kiểm thử yêu cầu Bảng 1 số 4</t>
  </si>
  <si>
    <t>1. Chuẩn bị dữ liệu và quyền phù hợp cho yêu cầu số 4.
2. Thực hiện chuỗi nghiệp vụ: Nhập thông tin chuyến bay SLOT → Nhập thông tin kế hoạch ngày của hãng → Kiểm tra trùng/khả dụng → Đưa ra danh sách chuyên bay không diễn ra → Xác nhận và lưu vào kế hoạch.
3. Kiểm tra dữ liệu đầu vào/đầu ra, giao diện, trạng thái, hiệu năng và trường hợp lỗi; đối chiếu nhật ký kiểm toán.</t>
  </si>
  <si>
    <t>Hệ thống thực hiện đúng yêu cầu số 4, tạo đầu ra/trạng thái theo mô tả; dữ liệu được kiểm tra nhất quán, lỗi được cảnh báo/xử lý an toàn, phân quyền được áp dụng và thao tác được ghi log.</t>
  </si>
  <si>
    <t>Yêu cầu Bảng 1 số 5: Hệ thống truy cập vào cơ sở dữ liệu điện văn của AMHS → Đọc và phân tích điện văn → Cập nhật trạng thái và lưu log</t>
  </si>
  <si>
    <t>Kiểm thử yêu cầu Bảng 1 số 5</t>
  </si>
  <si>
    <t>1. Chuẩn bị dữ liệu và quyền phù hợp cho yêu cầu số 5.
2. Thực hiện chuỗi nghiệp vụ: Hệ thống truy cập vào cơ sở dữ liệu điện văn của AMHS → Đọc và phân tích điện văn → Cập nhật trạng thái và lưu log.
3. Kiểm tra dữ liệu đầu vào/đầu ra, giao diện, trạng thái, hiệu năng và trường hợp lỗi; đối chiếu nhật ký kiểm toán.</t>
  </si>
  <si>
    <t>Hệ thống thực hiện đúng yêu cầu số 5, tạo đầu ra/trạng thái theo mô tả; dữ liệu được kiểm tra nhất quán, lỗi được cảnh báo/xử lý an toàn, phân quyền được áp dụng và thao tác được ghi log.</t>
  </si>
  <si>
    <t>Yêu cầu Bảng 1 số 6: Hệ thống xuất dữ liệu điện văn vào bảng cơ sở dữ liệu điện văn của AMHS → Cập nhật trạng thái và lưu log</t>
  </si>
  <si>
    <t>Kiểm thử yêu cầu Bảng 1 số 6</t>
  </si>
  <si>
    <t>1. Chuẩn bị dữ liệu và quyền phù hợp cho yêu cầu số 6.
2. Thực hiện chuỗi nghiệp vụ: Hệ thống xuất dữ liệu điện văn vào bảng cơ sở dữ liệu điện văn của AMHS → Cập nhật trạng thái và lưu log.
3. Kiểm tra dữ liệu đầu vào/đầu ra, giao diện, trạng thái, hiệu năng và trường hợp lỗi; đối chiếu nhật ký kiểm toán.</t>
  </si>
  <si>
    <t>Hệ thống thực hiện đúng yêu cầu số 6, tạo đầu ra/trạng thái theo mô tả; dữ liệu được kiểm tra nhất quán, lỗi được cảnh báo/xử lý an toàn, phân quyền được áp dụng và thao tác được ghi log.</t>
  </si>
  <si>
    <t>Yêu cầu Bảng 1 số 7: Client gửi request với token → API Gateway validate → Router đến service tương ứng → Trả về dữ liệu định dạng JSON → Ghi audit log</t>
  </si>
  <si>
    <t>Kiểm thử yêu cầu Bảng 1 số 7</t>
  </si>
  <si>
    <t>1. Chuẩn bị dữ liệu và quyền phù hợp cho yêu cầu số 7.
2. Thực hiện chuỗi nghiệp vụ: Client gửi request với token → API Gateway validate → Router đến service tương ứng → Trả về dữ liệu định dạng JSON → Ghi audit log.
3. Kiểm tra dữ liệu đầu vào/đầu ra, giao diện, trạng thái, hiệu năng và trường hợp lỗi; đối chiếu nhật ký kiểm toán.</t>
  </si>
  <si>
    <t>Hệ thống thực hiện đúng yêu cầu số 7, tạo đầu ra/trạng thái theo mô tả; dữ liệu được kiểm tra nhất quán, lỗi được cảnh báo/xử lý an toàn, phân quyền được áp dụng và thao tác được ghi log.</t>
  </si>
  <si>
    <t>8</t>
  </si>
  <si>
    <t>Yêu cầu Bảng 1 số 8: Engine giám sát sự kiện thời gian thực → So sánh với rule set → Kích hoạt cảnh báo khi match → Gửi notification → Ghi nhận trạng thái xử lý \n32</t>
  </si>
  <si>
    <t>NHÓM 2: CẢNH BÁO &amp; TIỆN ÍCH HỖ TRỢ; Phân loại: Dữ liệu đầu ra</t>
  </si>
  <si>
    <t>Kiểm thử yêu cầu Bảng 1 số 8</t>
  </si>
  <si>
    <t>1. Chuẩn bị dữ liệu và quyền phù hợp cho yêu cầu số 8.
2. Thực hiện chuỗi nghiệp vụ: Engine giám sát sự kiện thời gian thực → So sánh với rule set → Kích hoạt cảnh báo khi match → Gửi notification → Ghi nhận trạng thái xử lý \n32.
3. Kiểm tra dữ liệu đầu vào/đầu ra, giao diện, trạng thái, hiệu năng và trường hợp lỗi; đối chiếu nhật ký kiểm toán.</t>
  </si>
  <si>
    <t>Hệ thống thực hiện đúng yêu cầu số 8, tạo đầu ra/trạng thái theo mô tả; dữ liệu được kiểm tra nhất quán, lỗi được cảnh báo/xử lý an toàn, phân quyền được áp dụng và thao tác được ghi log.</t>
  </si>
  <si>
    <t>9</t>
  </si>
  <si>
    <t>Yêu cầu Bảng 1 số 9: Nhập KHB quân sự → Gửi chờ duyệt → Đề xuất điều chỉnh (nếu cần) → Phê duyệt → Thông báo tự động cho các bên liên quan HTSLB</t>
  </si>
  <si>
    <t>NHÓM 2: CẢNH BÁO &amp; TIỆN ÍCH HỖ TRỢ; Phân loại: Dữ liệu đầu vào/ra</t>
  </si>
  <si>
    <t>Kiểm thử yêu cầu Bảng 1 số 9</t>
  </si>
  <si>
    <t>1. Chuẩn bị dữ liệu và quyền phù hợp cho yêu cầu số 9.
2. Thực hiện chuỗi nghiệp vụ: Nhập KHB quân sự → Gửi chờ duyệt → Đề xuất điều chỉnh (nếu cần) → Phê duyệt → Thông báo tự động cho các bên liên quan HTSLB.
3. Kiểm tra dữ liệu đầu vào/đầu ra, giao diện, trạng thái, hiệu năng và trường hợp lỗi; đối chiếu nhật ký kiểm toán.</t>
  </si>
  <si>
    <t>Hệ thống thực hiện đúng yêu cầu số 9, tạo đầu ra/trạng thái theo mô tả; dữ liệu được kiểm tra nhất quán, lỗi được cảnh báo/xử lý an toàn, phân quyền được áp dụng và thao tác được ghi log.</t>
  </si>
  <si>
    <t>10</t>
  </si>
  <si>
    <t>Yêu cầu Bảng 1 số 10: Điện văn mới nhận → Lưu vào bảng inbox_current → Scheduler hàng đêm chuyển bản ghi &gt; 7 ngày sang inbox_archive → Người dùng search với date range mở rộng (≤ 60 ngày) → Hệ thống query cả 2 bảng. merge kết quả → Hiển thị/pagination như bình thường</t>
  </si>
  <si>
    <t>NHÓM 3: NÂNG CẤP VÀ TỐI ƯU CÁC CHỨC NĂNG CỦA HTSLB; Phân loại: Dữ liệu đầu vào/ra</t>
  </si>
  <si>
    <t>Kiểm thử yêu cầu Bảng 1 số 10</t>
  </si>
  <si>
    <t>1. Chuẩn bị dữ liệu và quyền phù hợp cho yêu cầu số 10.
2. Thực hiện chuỗi nghiệp vụ: Điện văn mới nhận → Lưu vào bảng inbox_current → Scheduler hàng đêm chuyển bản ghi &gt; 7 ngày sang inbox_archive → Người dùng search với date range mở rộng (≤ 60 ngày) → Hệ thống query cả 2 bảng. merge kết quả → Hiển thị/pagination như bình thường.
3. Kiểm tra dữ liệu đầu vào/đầu ra, giao diện, trạng thái, hiệu năng và trường hợp lỗi; đối chiếu nhật ký kiểm toán.</t>
  </si>
  <si>
    <t>Hệ thống thực hiện đúng yêu cầu số 10, tạo đầu ra/trạng thái theo mô tả; dữ liệu được kiểm tra nhất quán, lỗi được cảnh báo/xử lý an toàn, phân quyền được áp dụng và thao tác được ghi log.</t>
  </si>
  <si>
    <t>11</t>
  </si>
  <si>
    <t>Yêu cầu Bảng 1 số 11: Vượt quá 60 ngày → Tự động purge theo policy hoặc chuyển sang cold storage (object storage)</t>
  </si>
  <si>
    <t>NHÓM 3: NÂNG CẤP VÀ TỐI ƯU CÁC CHỨC NĂNG CỦA HTSLB; Phân loại: Dữ liệu đầu ra</t>
  </si>
  <si>
    <t>Kiểm thử yêu cầu Bảng 1 số 11</t>
  </si>
  <si>
    <t>1. Chuẩn bị dữ liệu và quyền phù hợp cho yêu cầu số 11.
2. Thực hiện chuỗi nghiệp vụ: Vượt quá 60 ngày → Tự động purge theo policy hoặc chuyển sang cold storage (object storage).
3. Kiểm tra dữ liệu đầu vào/đầu ra, giao diện, trạng thái, hiệu năng và trường hợp lỗi; đối chiếu nhật ký kiểm toán.</t>
  </si>
  <si>
    <t>Hệ thống thực hiện đúng yêu cầu số 11, tạo đầu ra/trạng thái theo mô tả; dữ liệu được kiểm tra nhất quán, lỗi được cảnh báo/xử lý an toàn, phân quyền được áp dụng và thao tác được ghi log.</t>
  </si>
  <si>
    <t>12</t>
  </si>
  <si>
    <t>Yêu cầu Bảng 1 số 12: Nhận điện văn mới (bất kỳ loại nào) → Extract flight identifier (callsign. date. route) → Query KHBN → Nếu NOT FOUND: gán flag NOPERM. đổi màu hiển thị thành đỏ → Hiển thị popup cảnh báo + ghi log → Yêu cầu operator xác nhận hoặc bổ sung phép bay</t>
  </si>
  <si>
    <t>Kiểm thử yêu cầu Bảng 1 số 12</t>
  </si>
  <si>
    <t>1. Chuẩn bị dữ liệu và quyền phù hợp cho yêu cầu số 12.
2. Thực hiện chuỗi nghiệp vụ: Nhận điện văn mới (bất kỳ loại nào) → Extract flight identifier (callsign. date. route) → Query KHBN → Nếu NOT FOUND: gán flag NOPERM. đổi màu hiển thị thành đỏ → Hiển thị popup cảnh báo + ghi log → Yêu cầu operator xác nhận hoặc bổ sung phép bay.
3. Kiểm tra dữ liệu đầu vào/đầu ra, giao diện, trạng thái, hiệu năng và trường hợp lỗi; đối chiếu nhật ký kiểm toán.</t>
  </si>
  <si>
    <t>Hệ thống thực hiện đúng yêu cầu số 12, tạo đầu ra/trạng thái theo mô tả; dữ liệu được kiểm tra nhất quán, lỗi được cảnh báo/xử lý an toàn, phân quyền được áp dụng và thao tác được ghi log.</t>
  </si>
  <si>
    <t>13</t>
  </si>
  <si>
    <t>Yêu cầu Bảng 1 số 13: Chuyến bay đặc biệt (VIP/Emergency) → Whitelist cấu hình trước. bỏ qua cảnh báo NOPERM</t>
  </si>
  <si>
    <t>NHÓM 3: NÂNG CẤP VÀ TỐI ƯU CÁC CHỨC NĂNG CỦA HTSLB; Phân loại: Dữ liệu đầu vào</t>
  </si>
  <si>
    <t>Kiểm thử yêu cầu Bảng 1 số 13</t>
  </si>
  <si>
    <t>1. Chuẩn bị dữ liệu và quyền phù hợp cho yêu cầu số 13.
2. Thực hiện chuỗi nghiệp vụ: Chuyến bay đặc biệt (VIP/Emergency) → Whitelist cấu hình trước. bỏ qua cảnh báo NOPERM.
3. Kiểm tra dữ liệu đầu vào/đầu ra, giao diện, trạng thái, hiệu năng và trường hợp lỗi; đối chiếu nhật ký kiểm toán.</t>
  </si>
  <si>
    <t>Hệ thống thực hiện đúng yêu cầu số 13, tạo đầu ra/trạng thái theo mô tả; dữ liệu được kiểm tra nhất quán, lỗi được cảnh báo/xử lý an toàn, phân quyền được áp dụng và thao tác được ghi log.</t>
  </si>
  <si>
    <t>14</t>
  </si>
  <si>
    <t>Yêu cầu Bảng 1 số 14: Khi nhập/hiển thị FPL → Tính toán: delta = submission_time - estimated_departure_time → Nếu delta &gt; 120h hoặc delta &lt; 60 ph: cảnh báo "Ngoài khung ICAO" → Ẩn khỏi danh sách chính hoặc hiển thị với badge cảnh báo → Yêu cầu xác nhận đặc biệt nếu muốn hiển thị</t>
  </si>
  <si>
    <t>Kiểm thử yêu cầu Bảng 1 số 14</t>
  </si>
  <si>
    <t>1. Chuẩn bị dữ liệu và quyền phù hợp cho yêu cầu số 14.
2. Thực hiện chuỗi nghiệp vụ: Khi nhập/hiển thị FPL → Tính toán: delta = submission_time - estimated_departure_time → Nếu delta &gt; 120h hoặc delta &lt; 60 ph: cảnh báo "Ngoài khung ICAO" → Ẩn khỏi danh sách chính hoặc hiển thị với badge cảnh báo → Yêu cầu xác nhận đặc biệt nếu muốn hiển thị.
3. Kiểm tra dữ liệu đầu vào/đầu ra, giao diện, trạng thái, hiệu năng và trường hợp lỗi; đối chiếu nhật ký kiểm toán.</t>
  </si>
  <si>
    <t>Hệ thống thực hiện đúng yêu cầu số 14, tạo đầu ra/trạng thái theo mô tả; dữ liệu được kiểm tra nhất quán, lỗi được cảnh báo/xử lý an toàn, phân quyền được áp dụng và thao tác được ghi log.</t>
  </si>
  <si>
    <t>15</t>
  </si>
  <si>
    <t>Yêu cầu Bảng 1 số 15: FPL sửa đổi (CHG) trong khung hợp lệ → Cho phép hiển thị bình thường dù FPL gốc &gt; 120h</t>
  </si>
  <si>
    <t>Kiểm thử yêu cầu Bảng 1 số 15</t>
  </si>
  <si>
    <t>1. Chuẩn bị dữ liệu và quyền phù hợp cho yêu cầu số 15.
2. Thực hiện chuỗi nghiệp vụ: FPL sửa đổi (CHG) trong khung hợp lệ → Cho phép hiển thị bình thường dù FPL gốc &gt; 120h.
3. Kiểm tra dữ liệu đầu vào/đầu ra, giao diện, trạng thái, hiệu năng và trường hợp lỗi; đối chiếu nhật ký kiểm toán.</t>
  </si>
  <si>
    <t>Hệ thống thực hiện đúng yêu cầu số 15, tạo đầu ra/trạng thái theo mô tả; dữ liệu được kiểm tra nhất quán, lỗi được cảnh báo/xử lý an toàn, phân quyền được áp dụng và thao tác được ghi log.</t>
  </si>
  <si>
    <t>16</t>
  </si>
  <si>
    <t>Yêu cầu Bảng 1 số 16: Người dùng nhập từ khóa vào search box → Hệ thống query across fields → Áp dụng full-text search cho match thông minh → Hiển thị kết quả với \n33 highlight từ khóa match → Hỗ trợ pagination và sort theo relevance</t>
  </si>
  <si>
    <t>Kiểm thử yêu cầu Bảng 1 số 16</t>
  </si>
  <si>
    <t>1. Chuẩn bị dữ liệu và quyền phù hợp cho yêu cầu số 16.
2. Thực hiện chuỗi nghiệp vụ: Người dùng nhập từ khóa vào search box → Hệ thống query across fields → Áp dụng full-text search cho match thông minh → Hiển thị kết quả với \n33 highlight từ khóa match → Hỗ trợ pagination và sort theo relevance.
3. Kiểm tra dữ liệu đầu vào/đầu ra, giao diện, trạng thái, hiệu năng và trường hợp lỗi; đối chiếu nhật ký kiểm toán.</t>
  </si>
  <si>
    <t>Hệ thống thực hiện đúng yêu cầu số 16, tạo đầu ra/trạng thái theo mô tả; dữ liệu được kiểm tra nhất quán, lỗi được cảnh báo/xử lý an toàn, phân quyền được áp dụng và thao tác được ghi log.</t>
  </si>
  <si>
    <t>17</t>
  </si>
  <si>
    <t>Yêu cầu Bảng 1 số 17: Từ khóa quá ngắn (&lt; 2 ký tự) → Yêu cầu nhập thêm hoặc hiển thị gợi ý autocomplete</t>
  </si>
  <si>
    <t>Kiểm thử yêu cầu Bảng 1 số 17</t>
  </si>
  <si>
    <t>1. Chuẩn bị dữ liệu và quyền phù hợp cho yêu cầu số 17.
2. Thực hiện chuỗi nghiệp vụ: Từ khóa quá ngắn (&lt; 2 ký tự) → Yêu cầu nhập thêm hoặc hiển thị gợi ý autocomplete.
3. Kiểm tra dữ liệu đầu vào/đầu ra, giao diện, trạng thái, hiệu năng và trường hợp lỗi; đối chiếu nhật ký kiểm toán.</t>
  </si>
  <si>
    <t>Hệ thống thực hiện đúng yêu cầu số 17, tạo đầu ra/trạng thái theo mô tả; dữ liệu được kiểm tra nhất quán, lỗi được cảnh báo/xử lý an toàn, phân quyền được áp dụng và thao tác được ghi log.</t>
  </si>
  <si>
    <t>18</t>
  </si>
  <si>
    <t>Yêu cầu Bảng 1 số 18: Mở màn hình Advanced Search → Chọn bộ lọc: airport. date range. flight type. airline. status → Hệ thống build dynamic query → Hiển thị kết quả dạng bảng → Cho phép export CSV/Excel/PDF trực tiếp từ kết quả</t>
  </si>
  <si>
    <t>Kiểm thử yêu cầu Bảng 1 số 18</t>
  </si>
  <si>
    <t>1. Chuẩn bị dữ liệu và quyền phù hợp cho yêu cầu số 18.
2. Thực hiện chuỗi nghiệp vụ: Mở màn hình Advanced Search → Chọn bộ lọc: airport. date range. flight type. airline. status → Hệ thống build dynamic query → Hiển thị kết quả dạng bảng → Cho phép export CSV/Excel/PDF trực tiếp từ kết quả.
3. Kiểm tra dữ liệu đầu vào/đầu ra, giao diện, trạng thái, hiệu năng và trường hợp lỗi; đối chiếu nhật ký kiểm toán.</t>
  </si>
  <si>
    <t>Hệ thống thực hiện đúng yêu cầu số 18, tạo đầu ra/trạng thái theo mô tả; dữ liệu được kiểm tra nhất quán, lỗi được cảnh báo/xử lý an toàn, phân quyền được áp dụng và thao tác được ghi log.</t>
  </si>
  <si>
    <t>19</t>
  </si>
  <si>
    <t>Yêu cầu Bảng 1 số 19: Kết quả quá lớn (&gt; 10.000 records) → Cảnh báo và yêu cầu thu hẹp phạm vi hoặc export background với notification khi hoàn thành</t>
  </si>
  <si>
    <t>Kiểm thử yêu cầu Bảng 1 số 19</t>
  </si>
  <si>
    <t>1. Chuẩn bị dữ liệu và quyền phù hợp cho yêu cầu số 19.
2. Thực hiện chuỗi nghiệp vụ: Kết quả quá lớn (&gt; 10.000 records) → Cảnh báo và yêu cầu thu hẹp phạm vi hoặc export background với notification khi hoàn thành.
3. Kiểm tra dữ liệu đầu vào/đầu ra, giao diện, trạng thái, hiệu năng và trường hợp lỗi; đối chiếu nhật ký kiểm toán.</t>
  </si>
  <si>
    <t>Hệ thống thực hiện đúng yêu cầu số 19, tạo đầu ra/trạng thái theo mô tả; dữ liệu được kiểm tra nhất quán, lỗi được cảnh báo/xử lý an toàn, phân quyền được áp dụng và thao tác được ghi log.</t>
  </si>
  <si>
    <t>20</t>
  </si>
  <si>
    <t>Yêu cầu Bảng 1 số 20: Khi nhập/sửa chuyến bay → Hệ thống check phân loại domestic/international → Đề xuất phân loại tự động → Người dùng xác nhận hoặc override thủ công → Lưu metadata flight_category vào CSDL → Hiển thị badge phân loại trong UI</t>
  </si>
  <si>
    <t>Kiểm thử yêu cầu Bảng 1 số 20</t>
  </si>
  <si>
    <t>1. Chuẩn bị dữ liệu và quyền phù hợp cho yêu cầu số 20.
2. Thực hiện chuỗi nghiệp vụ: Khi nhập/sửa chuyến bay → Hệ thống check phân loại domestic/international → Đề xuất phân loại tự động → Người dùng xác nhận hoặc override thủ công → Lưu metadata flight_category vào CSDL → Hiển thị badge phân loại trong UI.
3. Kiểm tra dữ liệu đầu vào/đầu ra, giao diện, trạng thái, hiệu năng và trường hợp lỗi; đối chiếu nhật ký kiểm toán.</t>
  </si>
  <si>
    <t>Hệ thống thực hiện đúng yêu cầu số 20, tạo đầu ra/trạng thái theo mô tả; dữ liệu được kiểm tra nhất quán, lỗi được cảnh báo/xử lý an toàn, phân quyền được áp dụng và thao tác được ghi log.</t>
  </si>
  <si>
    <t>21</t>
  </si>
  <si>
    <t>Yêu cầu Bảng 1 số 21: Sân bay chưa có thông tin country → Đánh dấu UNKNOWN. yêu cầu admin bổ sung dữ liệu tham chiếu</t>
  </si>
  <si>
    <t>Kiểm thử yêu cầu Bảng 1 số 21</t>
  </si>
  <si>
    <t>1. Chuẩn bị dữ liệu và quyền phù hợp cho yêu cầu số 21.
2. Thực hiện chuỗi nghiệp vụ: Sân bay chưa có thông tin country → Đánh dấu UNKNOWN. yêu cầu admin bổ sung dữ liệu tham chiếu.
3. Kiểm tra dữ liệu đầu vào/đầu ra, giao diện, trạng thái, hiệu năng và trường hợp lỗi; đối chiếu nhật ký kiểm toán.</t>
  </si>
  <si>
    <t>Hệ thống thực hiện đúng yêu cầu số 21, tạo đầu ra/trạng thái theo mô tả; dữ liệu được kiểm tra nhất quán, lỗi được cảnh báo/xử lý an toàn, phân quyền được áp dụng và thao tác được ghi log.</t>
  </si>
  <si>
    <t>22</t>
  </si>
  <si>
    <t>Yêu cầu Bảng 1 số 22: Người dùng chọn phạm vi export → Chọn loại output: ALL/LD-only/OF- only → Hệ thống lọc dữ liệu theo tiêu chí → Sinh file riêng biệt với naming convention → Cho phép download đồng thời hoặc gửi qua email/SFTP</t>
  </si>
  <si>
    <t>Kiểm thử yêu cầu Bảng 1 số 22</t>
  </si>
  <si>
    <t>1. Chuẩn bị dữ liệu và quyền phù hợp cho yêu cầu số 22.
2. Thực hiện chuỗi nghiệp vụ: Người dùng chọn phạm vi export → Chọn loại output: ALL/LD-only/OF- only → Hệ thống lọc dữ liệu theo tiêu chí → Sinh file riêng biệt với naming convention → Cho phép download đồng thời hoặc gửi qua email/SFTP.
3. Kiểm tra dữ liệu đầu vào/đầu ra, giao diện, trạng thái, hiệu năng và trường hợp lỗi; đối chiếu nhật ký kiểm toán.</t>
  </si>
  <si>
    <t>Hệ thống thực hiện đúng yêu cầu số 22, tạo đầu ra/trạng thái theo mô tả; dữ liệu được kiểm tra nhất quán, lỗi được cảnh báo/xử lý an toàn, phân quyền được áp dụng và thao tác được ghi log.</t>
  </si>
  <si>
    <t>23</t>
  </si>
  <si>
    <t>Yêu cầu Bảng 1 số 23: Dữ liệu quá lớn → Nén file thành .zip. thông báo thời gian xử lý dự kiến</t>
  </si>
  <si>
    <t>Kiểm thử yêu cầu Bảng 1 số 23</t>
  </si>
  <si>
    <t>1. Chuẩn bị dữ liệu và quyền phù hợp cho yêu cầu số 23.
2. Thực hiện chuỗi nghiệp vụ: Dữ liệu quá lớn → Nén file thành .zip. thông báo thời gian xử lý dự kiến.
3. Kiểm tra dữ liệu đầu vào/đầu ra, giao diện, trạng thái, hiệu năng và trường hợp lỗi; đối chiếu nhật ký kiểm toán.</t>
  </si>
  <si>
    <t>Hệ thống thực hiện đúng yêu cầu số 23, tạo đầu ra/trạng thái theo mô tả; dữ liệu được kiểm tra nhất quán, lỗi được cảnh báo/xử lý an toàn, phân quyền được áp dụng và thao tác được ghi log.</t>
  </si>
  <si>
    <t>24</t>
  </si>
  <si>
    <t>Yêu cầu Bảng 1 số 24: Operator mở form Edit flight → Hệ thống load form sửa → Người dùng sửa thông tin → Validate theo rule engine → Lưu thay đổi + ghi audit log</t>
  </si>
  <si>
    <t>Kiểm thử yêu cầu Bảng 1 số 24</t>
  </si>
  <si>
    <t>1. Chuẩn bị dữ liệu và quyền phù hợp cho yêu cầu số 24.
2. Thực hiện chuỗi nghiệp vụ: Operator mở form Edit flight → Hệ thống load form sửa → Người dùng sửa thông tin → Validate theo rule engine → Lưu thay đổi + ghi audit log.
3. Kiểm tra dữ liệu đầu vào/đầu ra, giao diện, trạng thái, hiệu năng và trường hợp lỗi; đối chiếu nhật ký kiểm toán.</t>
  </si>
  <si>
    <t>Hệ thống thực hiện đúng yêu cầu số 24, tạo đầu ra/trạng thái theo mô tả; dữ liệu được kiểm tra nhất quán, lỗi được cảnh báo/xử lý an toàn, phân quyền được áp dụng và thao tác được ghi log.</t>
  </si>
  <si>
    <t>25</t>
  </si>
  <si>
    <t>Yêu cầu Bảng 1 số 25: Schema không hợp lệ → Hệ thống fallback về default form. báo lỗi cho admin</t>
  </si>
  <si>
    <t>Kiểm thử yêu cầu Bảng 1 số 25</t>
  </si>
  <si>
    <t>1. Chuẩn bị dữ liệu và quyền phù hợp cho yêu cầu số 25.
2. Thực hiện chuỗi nghiệp vụ: Schema không hợp lệ → Hệ thống fallback về default form. báo lỗi cho admin.
3. Kiểm tra dữ liệu đầu vào/đầu ra, giao diện, trạng thái, hiệu năng và trường hợp lỗi; đối chiếu nhật ký kiểm toán.</t>
  </si>
  <si>
    <t>Hệ thống thực hiện đúng yêu cầu số 25, tạo đầu ra/trạng thái theo mô tả; dữ liệu được kiểm tra nhất quán, lỗi được cảnh báo/xử lý an toàn, phân quyền được áp dụng và thao tác được ghi log.</t>
  </si>
  <si>
    <t>26</t>
  </si>
  <si>
    <t>Yêu cầu Bảng 1 số 26: Mở chi tiết chuyến bay → Chuyển sang tab "Lịch sử xử lý" → Hệ thống \n34 query audit_log theo flight_id → Hiển thị timeline → Mỗi event hiển thị: timestamp. user_name. action_type. old_value → new_value. note → Hỗ trợ filter theo user/date/action</t>
  </si>
  <si>
    <t>Kiểm thử yêu cầu Bảng 1 số 26</t>
  </si>
  <si>
    <t>1. Chuẩn bị dữ liệu và quyền phù hợp cho yêu cầu số 26.
2. Thực hiện chuỗi nghiệp vụ: Mở chi tiết chuyến bay → Chuyển sang tab "Lịch sử xử lý" → Hệ thống \n34 query audit_log theo flight_id → Hiển thị timeline → Mỗi event hiển thị: timestamp. user_name. action_type. old_value → new_value. note → Hỗ trợ filter theo user/date/action.
3. Kiểm tra dữ liệu đầu vào/đầu ra, giao diện, trạng thái, hiệu năng và trường hợp lỗi; đối chiếu nhật ký kiểm toán.</t>
  </si>
  <si>
    <t>Hệ thống thực hiện đúng yêu cầu số 26, tạo đầu ra/trạng thái theo mô tả; dữ liệu được kiểm tra nhất quán, lỗi được cảnh báo/xử lý an toàn, phân quyền được áp dụng và thao tác được ghi log.</t>
  </si>
  <si>
    <t>27</t>
  </si>
  <si>
    <t>Yêu cầu Bảng 1 số 27: Nhận điện văn DEP/ARR → Extract flight_id + event_timestamp → Nếu event_date != scheduled_date: đánh dấu cross_midnight = true → Link các điện văn theo flight_id thay vì theo ngày → Hiển thị trong UI theo ngày nghiệp vụ thực tế → Báo cáo thống kê tính đúng ngày thực tế</t>
  </si>
  <si>
    <t>Kiểm thử yêu cầu Bảng 1 số 27</t>
  </si>
  <si>
    <t>1. Chuẩn bị dữ liệu và quyền phù hợp cho yêu cầu số 27.
2. Thực hiện chuỗi nghiệp vụ: Nhận điện văn DEP/ARR → Extract flight_id + event_timestamp → Nếu event_date != scheduled_date: đánh dấu cross_midnight = true → Link các điện văn theo flight_id thay vì theo ngày → Hiển thị trong UI theo ngày nghiệp vụ thực tế → Báo cáo thống kê tính đúng ngày thực tế.
3. Kiểm tra dữ liệu đầu vào/đầu ra, giao diện, trạng thái, hiệu năng và trường hợp lỗi; đối chiếu nhật ký kiểm toán.</t>
  </si>
  <si>
    <t>Hệ thống thực hiện đúng yêu cầu số 27, tạo đầu ra/trạng thái theo mô tả; dữ liệu được kiểm tra nhất quán, lỗi được cảnh báo/xử lý an toàn, phân quyền được áp dụng và thao tác được ghi log.</t>
  </si>
  <si>
    <t>28</t>
  </si>
  <si>
    <t>Yêu cầu Bảng 1 số 28: Thiếu thông tin ngày thực tế → Dùng scheduled_date làm fallback. đánh flag date_uncertain để review sau</t>
  </si>
  <si>
    <t>Kiểm thử yêu cầu Bảng 1 số 28</t>
  </si>
  <si>
    <t>1. Chuẩn bị dữ liệu và quyền phù hợp cho yêu cầu số 28.
2. Thực hiện chuỗi nghiệp vụ: Thiếu thông tin ngày thực tế → Dùng scheduled_date làm fallback. đánh flag date_uncertain để review sau.
3. Kiểm tra dữ liệu đầu vào/đầu ra, giao diện, trạng thái, hiệu năng và trường hợp lỗi; đối chiếu nhật ký kiểm toán.</t>
  </si>
  <si>
    <t>Hệ thống thực hiện đúng yêu cầu số 28, tạo đầu ra/trạng thái theo mô tả; dữ liệu được kiểm tra nhất quán, lỗi được cảnh báo/xử lý an toàn, phân quyền được áp dụng và thao tác được ghi log.</t>
  </si>
  <si>
    <t>29</t>
  </si>
  <si>
    <t>Yêu cầu Bảng 1 số 29: Người dùng chọn tiêu chí: time_granularity. group_by. metrics → Hệ thống xử lý dữ liệu → Hiển thị biểu đồ + bảng số liệu → Cho phép xem từ tổng quan vào chi tiết → Export kết quả ra PDF/Excel</t>
  </si>
  <si>
    <t>Kiểm thử yêu cầu Bảng 1 số 29</t>
  </si>
  <si>
    <t>1. Chuẩn bị dữ liệu và quyền phù hợp cho yêu cầu số 29.
2. Thực hiện chuỗi nghiệp vụ: Người dùng chọn tiêu chí: time_granularity. group_by. metrics → Hệ thống xử lý dữ liệu → Hiển thị biểu đồ + bảng số liệu → Cho phép xem từ tổng quan vào chi tiết → Export kết quả ra PDF/Excel.
3. Kiểm tra dữ liệu đầu vào/đầu ra, giao diện, trạng thái, hiệu năng và trường hợp lỗi; đối chiếu nhật ký kiểm toán.</t>
  </si>
  <si>
    <t>Hệ thống thực hiện đúng yêu cầu số 29, tạo đầu ra/trạng thái theo mô tả; dữ liệu được kiểm tra nhất quán, lỗi được cảnh báo/xử lý an toàn, phân quyền được áp dụng và thao tác được ghi log.</t>
  </si>
  <si>
    <t>30</t>
  </si>
  <si>
    <t>Yêu cầu Bảng 1 số 30: Dữ liệu chưa đủ để thống kê → Hiển thị thông báo và gợi ý mở rộng khoảng thời gian</t>
  </si>
  <si>
    <t>Kiểm thử yêu cầu Bảng 1 số 30</t>
  </si>
  <si>
    <t>1. Chuẩn bị dữ liệu và quyền phù hợp cho yêu cầu số 30.
2. Thực hiện chuỗi nghiệp vụ: Dữ liệu chưa đủ để thống kê → Hiển thị thông báo và gợi ý mở rộng khoảng thời gian.
3. Kiểm tra dữ liệu đầu vào/đầu ra, giao diện, trạng thái, hiệu năng và trường hợp lỗi; đối chiếu nhật ký kiểm toán.</t>
  </si>
  <si>
    <t>Hệ thống thực hiện đúng yêu cầu số 30, tạo đầu ra/trạng thái theo mô tả; dữ liệu được kiểm tra nhất quán, lỗi được cảnh báo/xử lý an toàn, phân quyền được áp dụng và thao tác được ghi log.</t>
  </si>
  <si>
    <t>31</t>
  </si>
  <si>
    <t>Yêu cầu Bảng 1 số 31: So sánh danh sách bay thực tế vs KH phê duyệt → Phát hiện mismatch → Gán status UNPERMITTED. hiển thị màu đỏ → Tạo alert với mức độ HIGH → Yêu cầu xác nhận bổ sung permit hoặc giải trình → Ghi log vi phạm để báo cáo</t>
  </si>
  <si>
    <t>Kiểm thử yêu cầu Bảng 1 số 31</t>
  </si>
  <si>
    <t>1. Chuẩn bị dữ liệu và quyền phù hợp cho yêu cầu số 31.
2. Thực hiện chuỗi nghiệp vụ: So sánh danh sách bay thực tế vs KH phê duyệt → Phát hiện mismatch → Gán status UNPERMITTED. hiển thị màu đỏ → Tạo alert với mức độ HIGH → Yêu cầu xác nhận bổ sung permit hoặc giải trình → Ghi log vi phạm để báo cáo.
3. Kiểm tra dữ liệu đầu vào/đầu ra, giao diện, trạng thái, hiệu năng và trường hợp lỗi; đối chiếu nhật ký kiểm toán.</t>
  </si>
  <si>
    <t>Hệ thống thực hiện đúng yêu cầu số 31, tạo đầu ra/trạng thái theo mô tả; dữ liệu được kiểm tra nhất quán, lỗi được cảnh báo/xử lý an toàn, phân quyền được áp dụng và thao tác được ghi log.</t>
  </si>
  <si>
    <t>32</t>
  </si>
  <si>
    <t>Yêu cầu Bảng 1 số 32: Chuyến bay được phép đặc biệt (military/emergency) → Check whitelist. nếu có thì không cảnh báo</t>
  </si>
  <si>
    <t>Kiểm thử yêu cầu Bảng 1 số 32</t>
  </si>
  <si>
    <t>1. Chuẩn bị dữ liệu và quyền phù hợp cho yêu cầu số 32.
2. Thực hiện chuỗi nghiệp vụ: Chuyến bay được phép đặc biệt (military/emergency) → Check whitelist. nếu có thì không cảnh báo.
3. Kiểm tra dữ liệu đầu vào/đầu ra, giao diện, trạng thái, hiệu năng và trường hợp lỗi; đối chiếu nhật ký kiểm toán.</t>
  </si>
  <si>
    <t>Hệ thống thực hiện đúng yêu cầu số 32, tạo đầu ra/trạng thái theo mô tả; dữ liệu được kiểm tra nhất quán, lỗi được cảnh báo/xử lý an toàn, phân quyền được áp dụng và thao tác được ghi log.</t>
  </si>
  <si>
    <t>33</t>
  </si>
  <si>
    <t>Yêu cầu Bảng 1 số 33: Chọn chuyến bay → Nhấn "Hủy" → Nhập lý do hủy (mandatory) → Hệ thống cập nhật status → CANCELLED → Ghi audit log và thông báo kết quả</t>
  </si>
  <si>
    <t>Kiểm thử yêu cầu Bảng 1 số 33</t>
  </si>
  <si>
    <t>1. Chuẩn bị dữ liệu và quyền phù hợp cho yêu cầu số 33.
2. Thực hiện chuỗi nghiệp vụ: Chọn chuyến bay → Nhấn "Hủy" → Nhập lý do hủy (mandatory) → Hệ thống cập nhật status → CANCELLED → Ghi audit log và thông báo kết quả.
3. Kiểm tra dữ liệu đầu vào/đầu ra, giao diện, trạng thái, hiệu năng và trường hợp lỗi; đối chiếu nhật ký kiểm toán.</t>
  </si>
  <si>
    <t>Hệ thống thực hiện đúng yêu cầu số 33, tạo đầu ra/trạng thái theo mô tả; dữ liệu được kiểm tra nhất quán, lỗi được cảnh báo/xử lý an toàn, phân quyền được áp dụng và thao tác được ghi log.</t>
  </si>
  <si>
    <t>34</t>
  </si>
  <si>
    <t>Yêu cầu Bảng 1 số 34: Chuyến bay đã DEP → Không cho hủy. yêu cầu dùng quy trình \n35 DLA/ARR thay thế</t>
  </si>
  <si>
    <t>Kiểm thử yêu cầu Bảng 1 số 34</t>
  </si>
  <si>
    <t>1. Chuẩn bị dữ liệu và quyền phù hợp cho yêu cầu số 34.
2. Thực hiện chuỗi nghiệp vụ: Chuyến bay đã DEP → Không cho hủy. yêu cầu dùng quy trình \n35 DLA/ARR thay thế.
3. Kiểm tra dữ liệu đầu vào/đầu ra, giao diện, trạng thái, hiệu năng và trường hợp lỗi; đối chiếu nhật ký kiểm toán.</t>
  </si>
  <si>
    <t>Hệ thống thực hiện đúng yêu cầu số 34, tạo đầu ra/trạng thái theo mô tả; dữ liệu được kiểm tra nhất quán, lỗi được cảnh báo/xử lý an toàn, phân quyền được áp dụng và thao tác được ghi log.</t>
  </si>
  <si>
    <t>35</t>
  </si>
  <si>
    <t>Yêu cầu Bảng 1 số 35: User yêu cầu export Bravo → Thực hiện chuyển dữ liệu → Trả kết quả trong &lt; 60s → Ghi log</t>
  </si>
  <si>
    <t>Kiểm thử yêu cầu Bảng 1 số 35</t>
  </si>
  <si>
    <t>1. Chuẩn bị dữ liệu và quyền phù hợp cho yêu cầu số 35.
2. Thực hiện chuỗi nghiệp vụ: User yêu cầu export Bravo → Thực hiện chuyển dữ liệu → Trả kết quả trong &lt; 60s → Ghi log.
3. Kiểm tra dữ liệu đầu vào/đầu ra, giao diện, trạng thái, hiệu năng và trường hợp lỗi; đối chiếu nhật ký kiểm toán.</t>
  </si>
  <si>
    <t>Hệ thống thực hiện đúng yêu cầu số 35, tạo đầu ra/trạng thái theo mô tả; dữ liệu được kiểm tra nhất quán, lỗi được cảnh báo/xử lý an toàn, phân quyền được áp dụng và thao tác được ghi log.</t>
  </si>
  <si>
    <t>36</t>
  </si>
  <si>
    <t>Yêu cầu Bảng 1 số 36: Dataset quá lớn (&gt; 50.000 records) → Chuyển sang background job. notify khi hoàn thành qua email/popup</t>
  </si>
  <si>
    <t>Kiểm thử yêu cầu Bảng 1 số 36</t>
  </si>
  <si>
    <t>1. Chuẩn bị dữ liệu và quyền phù hợp cho yêu cầu số 36.
2. Thực hiện chuỗi nghiệp vụ: Dataset quá lớn (&gt; 50.000 records) → Chuyển sang background job. notify khi hoàn thành qua email/popup.
3. Kiểm tra dữ liệu đầu vào/đầu ra, giao diện, trạng thái, hiệu năng và trường hợp lỗi; đối chiếu nhật ký kiểm toán.</t>
  </si>
  <si>
    <t>Hệ thống thực hiện đúng yêu cầu số 36, tạo đầu ra/trạng thái theo mô tả; dữ liệu được kiểm tra nhất quán, lỗi được cảnh báo/xử lý an toàn, phân quyền được áp dụng và thao tác được ghi log.</t>
  </si>
  <si>
    <t>37</t>
  </si>
  <si>
    <t>Yêu cầu Bảng 1 số 37: Mở Calendar Accepted → Chọn chuyến bay cần điều chỉnh → Nhấn F8 → Hệ thống cho phép kéo-thả hoặc nhập vị trí dòng mới → Lưu dữ liệu hiển thị theo user/session → Hiển thị lại lịch với bố cục mới</t>
  </si>
  <si>
    <t>Kiểm thử yêu cầu Bảng 1 số 37</t>
  </si>
  <si>
    <t>1. Chuẩn bị dữ liệu và quyền phù hợp cho yêu cầu số 37.
2. Thực hiện chuỗi nghiệp vụ: Mở Calendar Accepted → Chọn chuyến bay cần điều chỉnh → Nhấn F8 → Hệ thống cho phép kéo-thả hoặc nhập vị trí dòng mới → Lưu dữ liệu hiển thị theo user/session → Hiển thị lại lịch với bố cục mới.
3. Kiểm tra dữ liệu đầu vào/đầu ra, giao diện, trạng thái, hiệu năng và trường hợp lỗi; đối chiếu nhật ký kiểm toán.</t>
  </si>
  <si>
    <t>Hệ thống thực hiện đúng yêu cầu số 37, tạo đầu ra/trạng thái theo mô tả; dữ liệu được kiểm tra nhất quán, lỗi được cảnh báo/xử lý an toàn, phân quyền được áp dụng và thao tác được ghi log.</t>
  </si>
  <si>
    <t>38</t>
  </si>
  <si>
    <t>Yêu cầu Bảng 1 số 38: Vị trí mới trùng với chuyến khác → Cảnh báo và yêu cầu chọn vị trí khác</t>
  </si>
  <si>
    <t>Kiểm thử yêu cầu Bảng 1 số 38</t>
  </si>
  <si>
    <t>1. Chuẩn bị dữ liệu và quyền phù hợp cho yêu cầu số 38.
2. Thực hiện chuỗi nghiệp vụ: Vị trí mới trùng với chuyến khác → Cảnh báo và yêu cầu chọn vị trí khác.
3. Kiểm tra dữ liệu đầu vào/đầu ra, giao diện, trạng thái, hiệu năng và trường hợp lỗi; đối chiếu nhật ký kiểm toán.</t>
  </si>
  <si>
    <t>Hệ thống thực hiện đúng yêu cầu số 38, tạo đầu ra/trạng thái theo mô tả; dữ liệu được kiểm tra nhất quán, lỗi được cảnh báo/xử lý an toàn, phân quyền được áp dụng và thao tác được ghi log.</t>
  </si>
  <si>
    <t>39</t>
  </si>
  <si>
    <t>Yêu cầu Bảng 1 số 39: Đến giờ quy định → Tạo kế hoạch bay → Hệ thống thực hiện → Ghi log → Hoàn thành toàn bộ trong &lt; 60s → Gửi thông báo "Gen KHB completed"</t>
  </si>
  <si>
    <t>Kiểm thử yêu cầu Bảng 1 số 39</t>
  </si>
  <si>
    <t>1. Chuẩn bị dữ liệu và quyền phù hợp cho yêu cầu số 39.
2. Thực hiện chuỗi nghiệp vụ: Đến giờ quy định → Tạo kế hoạch bay → Hệ thống thực hiện → Ghi log → Hoàn thành toàn bộ trong &lt; 60s → Gửi thông báo "Gen KHB completed".
3. Kiểm tra dữ liệu đầu vào/đầu ra, giao diện, trạng thái, hiệu năng và trường hợp lỗi; đối chiếu nhật ký kiểm toán.</t>
  </si>
  <si>
    <t>Hệ thống thực hiện đúng yêu cầu số 39, tạo đầu ra/trạng thái theo mô tả; dữ liệu được kiểm tra nhất quán, lỗi được cảnh báo/xử lý an toàn, phân quyền được áp dụng và thao tác được ghi log.</t>
  </si>
  <si>
    <t>40</t>
  </si>
  <si>
    <t>Yêu cầu Bảng 1 số 40: Lỗi kết nối AMHS → Lưu messages vào local queue. retry tự động khi kết nối phục hồi</t>
  </si>
  <si>
    <t>Kiểm thử yêu cầu Bảng 1 số 40</t>
  </si>
  <si>
    <t>1. Chuẩn bị dữ liệu và quyền phù hợp cho yêu cầu số 40.
2. Thực hiện chuỗi nghiệp vụ: Lỗi kết nối AMHS → Lưu messages vào local queue. retry tự động khi kết nối phục hồi.
3. Kiểm tra dữ liệu đầu vào/đầu ra, giao diện, trạng thái, hiệu năng và trường hợp lỗi; đối chiếu nhật ký kiểm toán.</t>
  </si>
  <si>
    <t>Hệ thống thực hiện đúng yêu cầu số 40, tạo đầu ra/trạng thái theo mô tả; dữ liệu được kiểm tra nhất quán, lỗi được cảnh báo/xử lý an toàn, phân quyền được áp dụng và thao tác được ghi log.</t>
  </si>
  <si>
    <t>41</t>
  </si>
  <si>
    <t>Yêu cầu Bảng 1 số 41: Vào mục INBOX → Chọn date range: từ [date] đến [date] (tối đa 60 ngày) → Hệ thống query cả bảng current + archive → Hiển thị kết quả với pagination → Cho phép export kết quả tìm kiếm</t>
  </si>
  <si>
    <t>Kiểm thử yêu cầu Bảng 1 số 41</t>
  </si>
  <si>
    <t>1. Chuẩn bị dữ liệu và quyền phù hợp cho yêu cầu số 41.
2. Thực hiện chuỗi nghiệp vụ: Vào mục INBOX → Chọn date range: từ [date] đến [date] (tối đa 60 ngày) → Hệ thống query cả bảng current + archive → Hiển thị kết quả với pagination → Cho phép export kết quả tìm kiếm.
3. Kiểm tra dữ liệu đầu vào/đầu ra, giao diện, trạng thái, hiệu năng và trường hợp lỗi; đối chiếu nhật ký kiểm toán.</t>
  </si>
  <si>
    <t>Hệ thống thực hiện đúng yêu cầu số 41, tạo đầu ra/trạng thái theo mô tả; dữ liệu được kiểm tra nhất quán, lỗi được cảnh báo/xử lý an toàn, phân quyền được áp dụng và thao tác được ghi log.</t>
  </si>
  <si>
    <t>42</t>
  </si>
  <si>
    <t>Yêu cầu Bảng 1 số 42: Date range &gt; 60 ngày → Cảnh báo và yêu cầu thu hẹp. hoặc chuyển sang request báo cáo đặc biệt</t>
  </si>
  <si>
    <t>Kiểm thử yêu cầu Bảng 1 số 42</t>
  </si>
  <si>
    <t>1. Chuẩn bị dữ liệu và quyền phù hợp cho yêu cầu số 42.
2. Thực hiện chuỗi nghiệp vụ: Date range &gt; 60 ngày → Cảnh báo và yêu cầu thu hẹp. hoặc chuyển sang request báo cáo đặc biệt.
3. Kiểm tra dữ liệu đầu vào/đầu ra, giao diện, trạng thái, hiệu năng và trường hợp lỗi; đối chiếu nhật ký kiểm toán.</t>
  </si>
  <si>
    <t>Hệ thống thực hiện đúng yêu cầu số 42, tạo đầu ra/trạng thái theo mô tả; dữ liệu được kiểm tra nhất quán, lỗi được cảnh báo/xử lý an toàn, phân quyền được áp dụng và thao tác được ghi log.</t>
  </si>
  <si>
    <t>43</t>
  </si>
  <si>
    <t>Yêu cầu Bảng 1 số 43: Phát hiện edit request trên KHB đã build → Hệ thống kiểm tra → Cập nhật chỉ số → UI luôn hiển thị bản mới nhất. có toggle xem history → Ghi audit log thay đổi version</t>
  </si>
  <si>
    <t>Kiểm thử yêu cầu Bảng 1 số 43</t>
  </si>
  <si>
    <t>1. Chuẩn bị dữ liệu và quyền phù hợp cho yêu cầu số 43.
2. Thực hiện chuỗi nghiệp vụ: Phát hiện edit request trên KHB đã build → Hệ thống kiểm tra → Cập nhật chỉ số → UI luôn hiển thị bản mới nhất. có toggle xem history → Ghi audit log thay đổi version.
3. Kiểm tra dữ liệu đầu vào/đầu ra, giao diện, trạng thái, hiệu năng và trường hợp lỗi; đối chiếu nhật ký kiểm toán.</t>
  </si>
  <si>
    <t>Hệ thống thực hiện đúng yêu cầu số 43, tạo đầu ra/trạng thái theo mô tả; dữ liệu được kiểm tra nhất quán, lỗi được cảnh báo/xử lý an toàn, phân quyền được áp dụng và thao tác được ghi log.</t>
  </si>
  <si>
    <t>44</t>
  </si>
  <si>
    <t>Yêu cầu Bảng 1 số 44: Người dùng muốn giữ cả 2 version → Cho phép clone thành flight mới với ID khác. không ghi đè \n36</t>
  </si>
  <si>
    <t>Kiểm thử yêu cầu Bảng 1 số 44</t>
  </si>
  <si>
    <t>1. Chuẩn bị dữ liệu và quyền phù hợp cho yêu cầu số 44.
2. Thực hiện chuỗi nghiệp vụ: Người dùng muốn giữ cả 2 version → Cho phép clone thành flight mới với ID khác. không ghi đè \n36.
3. Kiểm tra dữ liệu đầu vào/đầu ra, giao diện, trạng thái, hiệu năng và trường hợp lỗi; đối chiếu nhật ký kiểm toán.</t>
  </si>
  <si>
    <t>Hệ thống thực hiện đúng yêu cầu số 44, tạo đầu ra/trạng thái theo mô tả; dữ liệu được kiểm tra nhất quán, lỗi được cảnh báo/xử lý an toàn, phân quyền được áp dụng và thao tác được ghi log.</t>
  </si>
  <si>
    <t>45</t>
  </si>
  <si>
    <t>Yêu cầu Bảng 1 số 45: Khi nhập/cập nhật permit → Tính toán ghi log</t>
  </si>
  <si>
    <t>Kiểm thử yêu cầu Bảng 1 số 45</t>
  </si>
  <si>
    <t>1. Chuẩn bị dữ liệu và quyền phù hợp cho yêu cầu số 45.
2. Thực hiện chuỗi nghiệp vụ: Khi nhập/cập nhật permit → Tính toán ghi log.
3. Kiểm tra dữ liệu đầu vào/đầu ra, giao diện, trạng thái, hiệu năng và trường hợp lỗi; đối chiếu nhật ký kiểm toán.</t>
  </si>
  <si>
    <t>Hệ thống thực hiện đúng yêu cầu số 45, tạo đầu ra/trạng thái theo mô tả; dữ liệu được kiểm tra nhất quán, lỗi được cảnh báo/xử lý an toàn, phân quyền được áp dụng và thao tác được ghi log.</t>
  </si>
  <si>
    <t>46</t>
  </si>
  <si>
    <t>Yêu cầu Bảng 1 số 46: Sai lệch do múi giờ hoặc chuyển ngày dương lịch → Hệ thống hỗ trợ convert timezone trước khi so sánh</t>
  </si>
  <si>
    <t>Kiểm thử yêu cầu Bảng 1 số 46</t>
  </si>
  <si>
    <t>1. Chuẩn bị dữ liệu và quyền phù hợp cho yêu cầu số 46.
2. Thực hiện chuỗi nghiệp vụ: Sai lệch do múi giờ hoặc chuyển ngày dương lịch → Hệ thống hỗ trợ convert timezone trước khi so sánh.
3. Kiểm tra dữ liệu đầu vào/đầu ra, giao diện, trạng thái, hiệu năng và trường hợp lỗi; đối chiếu nhật ký kiểm toán.</t>
  </si>
  <si>
    <t>Hệ thống thực hiện đúng yêu cầu số 46, tạo đầu ra/trạng thái theo mô tả; dữ liệu được kiểm tra nhất quán, lỗi được cảnh báo/xử lý an toàn, phân quyền được áp dụng và thao tác được ghi log.</t>
  </si>
  <si>
    <t>47</t>
  </si>
  <si>
    <t>Yêu cầu Bảng 1 số 47: Khi thực hiện tạo điện văn → Bổ sung mục đích (Purpose) vào thông tin điện văn được sinh ra</t>
  </si>
  <si>
    <t>Kiểm thử yêu cầu Bảng 1 số 47</t>
  </si>
  <si>
    <t>1. Chuẩn bị dữ liệu và quyền phù hợp cho yêu cầu số 47.
2. Thực hiện chuỗi nghiệp vụ: Khi thực hiện tạo điện văn → Bổ sung mục đích (Purpose) vào thông tin điện văn được sinh ra.
3. Kiểm tra dữ liệu đầu vào/đầu ra, giao diện, trạng thái, hiệu năng và trường hợp lỗi; đối chiếu nhật ký kiểm toán.</t>
  </si>
  <si>
    <t>Hệ thống thực hiện đúng yêu cầu số 47, tạo đầu ra/trạng thái theo mô tả; dữ liệu được kiểm tra nhất quán, lỗi được cảnh báo/xử lý an toàn, phân quyền được áp dụng và thao tác được ghi log.</t>
  </si>
  <si>
    <t>48</t>
  </si>
  <si>
    <t>Yêu cầu Bảng 1 số 48: Mục đích không có trong danh sách → Cho phép nhập custom với quyền admin. đề xuất thêm vào danh sách chuẩn</t>
  </si>
  <si>
    <t>Kiểm thử yêu cầu Bảng 1 số 48</t>
  </si>
  <si>
    <t>1. Chuẩn bị dữ liệu và quyền phù hợp cho yêu cầu số 48.
2. Thực hiện chuỗi nghiệp vụ: Mục đích không có trong danh sách → Cho phép nhập custom với quyền admin. đề xuất thêm vào danh sách chuẩn.
3. Kiểm tra dữ liệu đầu vào/đầu ra, giao diện, trạng thái, hiệu năng và trường hợp lỗi; đối chiếu nhật ký kiểm toán.</t>
  </si>
  <si>
    <t>Hệ thống thực hiện đúng yêu cầu số 48, tạo đầu ra/trạng thái theo mô tả; dữ liệu được kiểm tra nhất quán, lỗi được cảnh báo/xử lý an toàn, phân quyền được áp dụng và thao tác được ghi log.</t>
  </si>
  <si>
    <t>49</t>
  </si>
  <si>
    <t>Yêu cầu Bảng 1 số 49: Tại màn hình cập nhật phép bay → Kiểm tra ngày hiệu lực → Hiện thị "đỏ" để cảnh báo</t>
  </si>
  <si>
    <t>Kiểm thử yêu cầu Bảng 1 số 49</t>
  </si>
  <si>
    <t>1. Chuẩn bị dữ liệu và quyền phù hợp cho yêu cầu số 49.
2. Thực hiện chuỗi nghiệp vụ: Tại màn hình cập nhật phép bay → Kiểm tra ngày hiệu lực → Hiện thị "đỏ" để cảnh báo.
3. Kiểm tra dữ liệu đầu vào/đầu ra, giao diện, trạng thái, hiệu năng và trường hợp lỗi; đối chiếu nhật ký kiểm toán.</t>
  </si>
  <si>
    <t>Hệ thống thực hiện đúng yêu cầu số 49, tạo đầu ra/trạng thái theo mô tả; dữ liệu được kiểm tra nhất quán, lỗi được cảnh báo/xử lý an toàn, phân quyền được áp dụng và thao tác được ghi log.</t>
  </si>
  <si>
    <t>50</t>
  </si>
  <si>
    <t>Yêu cầu Bảng 1 số 50: Khi nhận chuyến bay từ TBHĐB → Tự động kiểm tra và cập nhật đường bay dựa trên FPL thực tế đã nộp</t>
  </si>
  <si>
    <t>Kiểm thử yêu cầu Bảng 1 số 50</t>
  </si>
  <si>
    <t>1. Chuẩn bị dữ liệu và quyền phù hợp cho yêu cầu số 50.
2. Thực hiện chuỗi nghiệp vụ: Khi nhận chuyến bay từ TBHĐB → Tự động kiểm tra và cập nhật đường bay dựa trên FPL thực tế đã nộp.
3. Kiểm tra dữ liệu đầu vào/đầu ra, giao diện, trạng thái, hiệu năng và trường hợp lỗi; đối chiếu nhật ký kiểm toán.</t>
  </si>
  <si>
    <t>Hệ thống thực hiện đúng yêu cầu số 50, tạo đầu ra/trạng thái theo mô tả; dữ liệu được kiểm tra nhất quán, lỗi được cảnh báo/xử lý an toàn, phân quyền được áp dụng và thao tác được ghi log.</t>
  </si>
  <si>
    <t>51</t>
  </si>
  <si>
    <t>Yêu cầu Bảng 1 số 51: Route string không chuẩn → đánh flag ROUTE_UNCERTAIN để kiểm tra thủ công</t>
  </si>
  <si>
    <t>Kiểm thử yêu cầu Bảng 1 số 51</t>
  </si>
  <si>
    <t>1. Chuẩn bị dữ liệu và quyền phù hợp cho yêu cầu số 51.
2. Thực hiện chuỗi nghiệp vụ: Route string không chuẩn → đánh flag ROUTE_UNCERTAIN để kiểm tra thủ công.
3. Kiểm tra dữ liệu đầu vào/đầu ra, giao diện, trạng thái, hiệu năng và trường hợp lỗi; đối chiếu nhật ký kiểm toán.</t>
  </si>
  <si>
    <t>Hệ thống thực hiện đúng yêu cầu số 51, tạo đầu ra/trạng thái theo mô tả; dữ liệu được kiểm tra nhất quán, lỗi được cảnh báo/xử lý an toàn, phân quyền được áp dụng và thao tác được ghi log.</t>
  </si>
  <si>
    <t>52</t>
  </si>
  <si>
    <t>Yêu cầu Bảng 1 số 52: Export từ danh sách chuyến bay sau khi khai thác xong → Tự động kiểm tra và đánh dấu chuyến bay chuyển ngày</t>
  </si>
  <si>
    <t>Kiểm thử yêu cầu Bảng 1 số 52</t>
  </si>
  <si>
    <t>1. Chuẩn bị dữ liệu và quyền phù hợp cho yêu cầu số 52.
2. Thực hiện chuỗi nghiệp vụ: Export từ danh sách chuyến bay sau khi khai thác xong → Tự động kiểm tra và đánh dấu chuyến bay chuyển ngày.
3. Kiểm tra dữ liệu đầu vào/đầu ra, giao diện, trạng thái, hiệu năng và trường hợp lỗi; đối chiếu nhật ký kiểm toán.</t>
  </si>
  <si>
    <t>Hệ thống thực hiện đúng yêu cầu số 52, tạo đầu ra/trạng thái theo mô tả; dữ liệu được kiểm tra nhất quán, lỗi được cảnh báo/xử lý an toàn, phân quyền được áp dụng và thao tác được ghi log.</t>
  </si>
  <si>
    <t>53</t>
  </si>
  <si>
    <t>Yêu cầu Bảng 1 số 53: Mở màn hình Daily Plan → Hệ thống load baseline KHBN → Khi có chuyến bay mới được thêm: hiển thị badge "NEW". highlight row → Counter hiển thị: +X flights added → Cho phép filter → Audit log ghi nhận</t>
  </si>
  <si>
    <t>Kiểm thử yêu cầu Bảng 1 số 53</t>
  </si>
  <si>
    <t>1. Chuẩn bị dữ liệu và quyền phù hợp cho yêu cầu số 53.
2. Thực hiện chuỗi nghiệp vụ: Mở màn hình Daily Plan → Hệ thống load baseline KHBN → Khi có chuyến bay mới được thêm: hiển thị badge "NEW". highlight row → Counter hiển thị: +X flights added → Cho phép filter → Audit log ghi nhận.
3. Kiểm tra dữ liệu đầu vào/đầu ra, giao diện, trạng thái, hiệu năng và trường hợp lỗi; đối chiếu nhật ký kiểm toán.</t>
  </si>
  <si>
    <t>Hệ thống thực hiện đúng yêu cầu số 53, tạo đầu ra/trạng thái theo mô tả; dữ liệu được kiểm tra nhất quán, lỗi được cảnh báo/xử lý an toàn, phân quyền được áp dụng và thao tác được ghi log.</t>
  </si>
  <si>
    <t>54</t>
  </si>
  <si>
    <t>Yêu cầu Bảng 1 số 54: Hệ thống nhận dữ liệu từ Trung tâm TBHĐB → Hiển thị thông báo trên Dashboard → Cho phép click để xem chi tiết danh sách chuyến vừa cập nhật → Ghi log</t>
  </si>
  <si>
    <t>Kiểm thử yêu cầu Bảng 1 số 54</t>
  </si>
  <si>
    <t>1. Chuẩn bị dữ liệu và quyền phù hợp cho yêu cầu số 54.
2. Thực hiện chuỗi nghiệp vụ: Hệ thống nhận dữ liệu từ Trung tâm TBHĐB → Hiển thị thông báo trên Dashboard → Cho phép click để xem chi tiết danh sách chuyến vừa cập nhật → Ghi log.
3. Kiểm tra dữ liệu đầu vào/đầu ra, giao diện, trạng thái, hiệu năng và trường hợp lỗi; đối chiếu nhật ký kiểm toán.</t>
  </si>
  <si>
    <t>Hệ thống thực hiện đúng yêu cầu số 54, tạo đầu ra/trạng thái theo mô tả; dữ liệu được kiểm tra nhất quán, lỗi được cảnh báo/xử lý an toàn, phân quyền được áp dụng và thao tác được ghi log.</t>
  </si>
  <si>
    <t>55</t>
  </si>
  <si>
    <t>Yêu cầu Bảng 1 số 55: Chức năng đồng bộ sang Bravo → Với mỗi chuyến bay kiểm tra → Nếu tồn tại: UPDATE chỉ các trường thay đổi. KEEP ORIGINAL → Nếu \n37 không tồn tại: INSERT new record → Ghi log sync result → Gửi notification khi hoàn thành</t>
  </si>
  <si>
    <t>Kiểm thử yêu cầu Bảng 1 số 55</t>
  </si>
  <si>
    <t>1. Chuẩn bị dữ liệu và quyền phù hợp cho yêu cầu số 55.
2. Thực hiện chuỗi nghiệp vụ: Chức năng đồng bộ sang Bravo → Với mỗi chuyến bay kiểm tra → Nếu tồn tại: UPDATE chỉ các trường thay đổi. KEEP ORIGINAL → Nếu \n37 không tồn tại: INSERT new record → Ghi log sync result → Gửi notification khi hoàn thành.
3. Kiểm tra dữ liệu đầu vào/đầu ra, giao diện, trạng thái, hiệu năng và trường hợp lỗi; đối chiếu nhật ký kiểm toán.</t>
  </si>
  <si>
    <t>Hệ thống thực hiện đúng yêu cầu số 55, tạo đầu ra/trạng thái theo mô tả; dữ liệu được kiểm tra nhất quán, lỗi được cảnh báo/xử lý an toàn, phân quyền được áp dụng và thao tác được ghi log.</t>
  </si>
  <si>
    <t>56</t>
  </si>
  <si>
    <t>Yêu cầu Bảng 1 số 56: Xung đột dữ liệu (Bravo đã sửa manual) → Áp dụng policy manual_override_wins hoặc đưa vào conflict queue để review</t>
  </si>
  <si>
    <t>Kiểm thử yêu cầu Bảng 1 số 56</t>
  </si>
  <si>
    <t>1. Chuẩn bị dữ liệu và quyền phù hợp cho yêu cầu số 56.
2. Thực hiện chuỗi nghiệp vụ: Xung đột dữ liệu (Bravo đã sửa manual) → Áp dụng policy manual_override_wins hoặc đưa vào conflict queue để review.
3. Kiểm tra dữ liệu đầu vào/đầu ra, giao diện, trạng thái, hiệu năng và trường hợp lỗi; đối chiếu nhật ký kiểm toán.</t>
  </si>
  <si>
    <t>Hệ thống thực hiện đúng yêu cầu số 56, tạo đầu ra/trạng thái theo mô tả; dữ liệu được kiểm tra nhất quán, lỗi được cảnh báo/xử lý an toàn, phân quyền được áp dụng và thao tác được ghi log.</t>
  </si>
  <si>
    <t>57</t>
  </si>
  <si>
    <t>Yêu cầu Bảng 1 số 57: Khi nhận chuyến bay từ TBHĐB → Kiểm tra ngày → Cập nhật đúng ngày thực tế</t>
  </si>
  <si>
    <t>Kiểm thử yêu cầu Bảng 1 số 57</t>
  </si>
  <si>
    <t>1. Chuẩn bị dữ liệu và quyền phù hợp cho yêu cầu số 57.
2. Thực hiện chuỗi nghiệp vụ: Khi nhận chuyến bay từ TBHĐB → Kiểm tra ngày → Cập nhật đúng ngày thực tế.
3. Kiểm tra dữ liệu đầu vào/đầu ra, giao diện, trạng thái, hiệu năng và trường hợp lỗi; đối chiếu nhật ký kiểm toán.</t>
  </si>
  <si>
    <t>Hệ thống thực hiện đúng yêu cầu số 57, tạo đầu ra/trạng thái theo mô tả; dữ liệu được kiểm tra nhất quán, lỗi được cảnh báo/xử lý an toàn, phân quyền được áp dụng và thao tác được ghi log.</t>
  </si>
  <si>
    <t>58</t>
  </si>
  <si>
    <t>Yêu cầu Bảng 1 số 58: Trên danh sách chuyến bay. chọn nhiều dòng → Chọn field cần sửa → Nhập giá trị mới → Preview changes → Confirm → Hệ thống thực hiện batch update với transaction → Hiển thị kết quả → Ghi log cho từng chuyến bay</t>
  </si>
  <si>
    <t>Kiểm thử yêu cầu Bảng 1 số 58</t>
  </si>
  <si>
    <t>1. Chuẩn bị dữ liệu và quyền phù hợp cho yêu cầu số 58.
2. Thực hiện chuỗi nghiệp vụ: Trên danh sách chuyến bay. chọn nhiều dòng → Chọn field cần sửa → Nhập giá trị mới → Preview changes → Confirm → Hệ thống thực hiện batch update với transaction → Hiển thị kết quả → Ghi log cho từng chuyến bay.
3. Kiểm tra dữ liệu đầu vào/đầu ra, giao diện, trạng thái, hiệu năng và trường hợp lỗi; đối chiếu nhật ký kiểm toán.</t>
  </si>
  <si>
    <t>Hệ thống thực hiện đúng yêu cầu số 58, tạo đầu ra/trạng thái theo mô tả; dữ liệu được kiểm tra nhất quán, lỗi được cảnh báo/xử lý an toàn, phân quyền được áp dụng và thao tác được ghi log.</t>
  </si>
  <si>
    <t>59</t>
  </si>
  <si>
    <t>Yêu cầu Bảng 1 số 59: Một số flight không đủ quyền sửa → Bỏ qua những flight đó. cập nhật những flight hợp lệ. báo cáo chi tiết</t>
  </si>
  <si>
    <t>Kiểm thử yêu cầu Bảng 1 số 59</t>
  </si>
  <si>
    <t>1. Chuẩn bị dữ liệu và quyền phù hợp cho yêu cầu số 59.
2. Thực hiện chuỗi nghiệp vụ: Một số flight không đủ quyền sửa → Bỏ qua những flight đó. cập nhật những flight hợp lệ. báo cáo chi tiết.
3. Kiểm tra dữ liệu đầu vào/đầu ra, giao diện, trạng thái, hiệu năng và trường hợp lỗi; đối chiếu nhật ký kiểm toán.</t>
  </si>
  <si>
    <t>Hệ thống thực hiện đúng yêu cầu số 59, tạo đầu ra/trạng thái theo mô tả; dữ liệu được kiểm tra nhất quán, lỗi được cảnh báo/xử lý an toàn, phân quyền được áp dụng và thao tác được ghi log.</t>
  </si>
  <si>
    <t>60</t>
  </si>
  <si>
    <t>Yêu cầu Bảng 1 số 60: Chọn phạm vi đối chiếu → Hệ thống fetch data từ cả 2 nguồn → Match records → So sánh fields → Highlight mismatches → Sinh báo cáo đối chiếu → Cho phép export discrepancy list để xử lý</t>
  </si>
  <si>
    <t>Kiểm thử yêu cầu Bảng 1 số 60</t>
  </si>
  <si>
    <t>1. Chuẩn bị dữ liệu và quyền phù hợp cho yêu cầu số 60.
2. Thực hiện chuỗi nghiệp vụ: Chọn phạm vi đối chiếu → Hệ thống fetch data từ cả 2 nguồn → Match records → So sánh fields → Highlight mismatches → Sinh báo cáo đối chiếu → Cho phép export discrepancy list để xử lý.
3. Kiểm tra dữ liệu đầu vào/đầu ra, giao diện, trạng thái, hiệu năng và trường hợp lỗi; đối chiếu nhật ký kiểm toán.</t>
  </si>
  <si>
    <t>Hệ thống thực hiện đúng yêu cầu số 60, tạo đầu ra/trạng thái theo mô tả; dữ liệu được kiểm tra nhất quán, lỗi được cảnh báo/xử lý an toàn, phân quyền được áp dụng và thao tác được ghi log.</t>
  </si>
  <si>
    <t>61</t>
  </si>
  <si>
    <t>Yêu cầu Bảng 1 số 61: Không tìm thấy match key → Đánh dấu ORPHAN ở cả 2 phía. đề xuất kiểm tra dữ liệu nguồn</t>
  </si>
  <si>
    <t>Kiểm thử yêu cầu Bảng 1 số 61</t>
  </si>
  <si>
    <t>1. Chuẩn bị dữ liệu và quyền phù hợp cho yêu cầu số 61.
2. Thực hiện chuỗi nghiệp vụ: Không tìm thấy match key → Đánh dấu ORPHAN ở cả 2 phía. đề xuất kiểm tra dữ liệu nguồn.
3. Kiểm tra dữ liệu đầu vào/đầu ra, giao diện, trạng thái, hiệu năng và trường hợp lỗi; đối chiếu nhật ký kiểm toán.</t>
  </si>
  <si>
    <t>Hệ thống thực hiện đúng yêu cầu số 61, tạo đầu ra/trạng thái theo mô tả; dữ liệu được kiểm tra nhất quán, lỗi được cảnh báo/xử lý an toàn, phân quyền được áp dụng và thao tác được ghi log.</t>
  </si>
  <si>
    <t>62</t>
  </si>
  <si>
    <t>Yêu cầu Bảng 1 số 62: Mở Daily Military Report → Click vào search bar → Nhập từ khóa hoặc chọn field-specific filter → Hệ thống query với full-text search → Hiển thị kết quả với highlight match → Cho phép save search criteria → Export kết quả</t>
  </si>
  <si>
    <t>Kiểm thử yêu cầu Bảng 1 số 62</t>
  </si>
  <si>
    <t>1. Chuẩn bị dữ liệu và quyền phù hợp cho yêu cầu số 62.
2. Thực hiện chuỗi nghiệp vụ: Mở Daily Military Report → Click vào search bar → Nhập từ khóa hoặc chọn field-specific filter → Hệ thống query với full-text search → Hiển thị kết quả với highlight match → Cho phép save search criteria → Export kết quả.
3. Kiểm tra dữ liệu đầu vào/đầu ra, giao diện, trạng thái, hiệu năng và trường hợp lỗi; đối chiếu nhật ký kiểm toán.</t>
  </si>
  <si>
    <t>Hệ thống thực hiện đúng yêu cầu số 62, tạo đầu ra/trạng thái theo mô tả; dữ liệu được kiểm tra nhất quán, lỗi được cảnh báo/xử lý an toàn, phân quyền được áp dụng và thao tác được ghi log.</t>
  </si>
  <si>
    <t>63</t>
  </si>
  <si>
    <t>Yêu cầu Bảng 1 số 63: Mở bất kỳ báo cáo nào → Hiển thị panel filters với tất cả criteria → Người dùng chọn/combine nhiều criteria → Hệ thống build dynamic query → Hiển thị kết quả với option show/hide columns → Cho phép save filter \n38 preset → Export</t>
  </si>
  <si>
    <t>Kiểm thử yêu cầu Bảng 1 số 63</t>
  </si>
  <si>
    <t>1. Chuẩn bị dữ liệu và quyền phù hợp cho yêu cầu số 63.
2. Thực hiện chuỗi nghiệp vụ: Mở bất kỳ báo cáo nào → Hiển thị panel filters với tất cả criteria → Người dùng chọn/combine nhiều criteria → Hệ thống build dynamic query → Hiển thị kết quả với option show/hide columns → Cho phép save filter \n38 preset → Export.
3. Kiểm tra dữ liệu đầu vào/đầu ra, giao diện, trạng thái, hiệu năng và trường hợp lỗi; đối chiếu nhật ký kiểm toán.</t>
  </si>
  <si>
    <t>Hệ thống thực hiện đúng yêu cầu số 63, tạo đầu ra/trạng thái theo mô tả; dữ liệu được kiểm tra nhất quán, lỗi được cảnh báo/xử lý an toàn, phân quyền được áp dụng và thao tác được ghi log.</t>
  </si>
  <si>
    <t>64</t>
  </si>
  <si>
    <t>Yêu cầu Bảng 1 số 64: Người dùng truy cập Dashboard → Hệ thống hiện thị: tổng chuyến bay. tỷ lệ on-time. delay distribution. airport heatmap → Dữ liệu auto-refresh → Cho phép click để xem chi tiết → Hỗ trợ tùy chỉnh layout</t>
  </si>
  <si>
    <t>NHÓM 4: PHÂN TÍCH, BÁO CÁO THÔNG MINH; Phân loại: Dữ liệu đầu ra</t>
  </si>
  <si>
    <t>Kiểm thử yêu cầu Bảng 1 số 64</t>
  </si>
  <si>
    <t>1. Chuẩn bị dữ liệu và quyền phù hợp cho yêu cầu số 64.
2. Thực hiện chuỗi nghiệp vụ: Người dùng truy cập Dashboard → Hệ thống hiện thị: tổng chuyến bay. tỷ lệ on-time. delay distribution. airport heatmap → Dữ liệu auto-refresh → Cho phép click để xem chi tiết → Hỗ trợ tùy chỉnh layout.
3. Kiểm tra dữ liệu đầu vào/đầu ra, giao diện, trạng thái, hiệu năng và trường hợp lỗi; đối chiếu nhật ký kiểm toán.</t>
  </si>
  <si>
    <t>Hệ thống thực hiện đúng yêu cầu số 64, tạo đầu ra/trạng thái theo mô tả; dữ liệu được kiểm tra nhất quán, lỗi được cảnh báo/xử lý an toàn, phân quyền được áp dụng và thao tác được ghi log.</t>
  </si>
  <si>
    <t>65</t>
  </si>
  <si>
    <t>Yêu cầu Bảng 1 số 65: Mất kết nối dữ liệu real-time → Hiển thị thông báo "Dữ liệu cập nhật lúc HH:mm"</t>
  </si>
  <si>
    <t>Kiểm thử yêu cầu Bảng 1 số 65</t>
  </si>
  <si>
    <t>1. Chuẩn bị dữ liệu và quyền phù hợp cho yêu cầu số 65.
2. Thực hiện chuỗi nghiệp vụ: Mất kết nối dữ liệu real-time → Hiển thị thông báo "Dữ liệu cập nhật lúc HH:mm".
3. Kiểm tra dữ liệu đầu vào/đầu ra, giao diện, trạng thái, hiệu năng và trường hợp lỗi; đối chiếu nhật ký kiểm toán.</t>
  </si>
  <si>
    <t>Hệ thống thực hiện đúng yêu cầu số 65, tạo đầu ra/trạng thái theo mô tả; dữ liệu được kiểm tra nhất quán, lỗi được cảnh báo/xử lý an toàn, phân quyền được áp dụng và thao tác được ghi log.</t>
  </si>
  <si>
    <t>66</t>
  </si>
  <si>
    <t>Yêu cầu Bảng 1 số 66: Chọn chỉ số phân tích → Chọn granularity → Hệ thống tính toán trend line. moving average. seasonality → Hiển thị biểu đồ với confidence interval → Dự báo ngắn hạn → Export kết quả phân tích</t>
  </si>
  <si>
    <t>Kiểm thử yêu cầu Bảng 1 số 66</t>
  </si>
  <si>
    <t>1. Chuẩn bị dữ liệu và quyền phù hợp cho yêu cầu số 66.
2. Thực hiện chuỗi nghiệp vụ: Chọn chỉ số phân tích → Chọn granularity → Hệ thống tính toán trend line. moving average. seasonality → Hiển thị biểu đồ với confidence interval → Dự báo ngắn hạn → Export kết quả phân tích.
3. Kiểm tra dữ liệu đầu vào/đầu ra, giao diện, trạng thái, hiệu năng và trường hợp lỗi; đối chiếu nhật ký kiểm toán.</t>
  </si>
  <si>
    <t>Hệ thống thực hiện đúng yêu cầu số 66, tạo đầu ra/trạng thái theo mô tả; dữ liệu được kiểm tra nhất quán, lỗi được cảnh báo/xử lý an toàn, phân quyền được áp dụng và thao tác được ghi log.</t>
  </si>
  <si>
    <t>67</t>
  </si>
  <si>
    <t>Yêu cầu Bảng 1 số 67: Engine giám sát luồng dữ liệu mới → So sánh với statistical baseline → Nếu giá trị vượt ngưỡng: đánh dấu ANOMALY → Phân loại nguyên nhân → Gửi alert → Ghi log để huấn luyện mô hình</t>
  </si>
  <si>
    <t>Kiểm thử yêu cầu Bảng 1 số 67</t>
  </si>
  <si>
    <t>1. Chuẩn bị dữ liệu và quyền phù hợp cho yêu cầu số 67.
2. Thực hiện chuỗi nghiệp vụ: Engine giám sát luồng dữ liệu mới → So sánh với statistical baseline → Nếu giá trị vượt ngưỡng: đánh dấu ANOMALY → Phân loại nguyên nhân → Gửi alert → Ghi log để huấn luyện mô hình.
3. Kiểm tra dữ liệu đầu vào/đầu ra, giao diện, trạng thái, hiệu năng và trường hợp lỗi; đối chiếu nhật ký kiểm toán.</t>
  </si>
  <si>
    <t>Hệ thống thực hiện đúng yêu cầu số 67, tạo đầu ra/trạng thái theo mô tả; dữ liệu được kiểm tra nhất quán, lỗi được cảnh báo/xử lý an toàn, phân quyền được áp dụng và thao tác được ghi log.</t>
  </si>
  <si>
    <t>68</t>
  </si>
  <si>
    <t>Yêu cầu Bảng 1 số 68: Bất thường được xác nhận là hợp lệ → Đánh dấu VALIDATED. cập nhật baseline để không cảnh báo lặp</t>
  </si>
  <si>
    <t>NHÓM 4: PHÂN TÍCH, BÁO CÁO THÔNG MINH; Phân loại: Dữ liệu đầu vào</t>
  </si>
  <si>
    <t>Kiểm thử yêu cầu Bảng 1 số 68</t>
  </si>
  <si>
    <t>1. Chuẩn bị dữ liệu và quyền phù hợp cho yêu cầu số 68.
2. Thực hiện chuỗi nghiệp vụ: Bất thường được xác nhận là hợp lệ → Đánh dấu VALIDATED. cập nhật baseline để không cảnh báo lặp.
3. Kiểm tra dữ liệu đầu vào/đầu ra, giao diện, trạng thái, hiệu năng và trường hợp lỗi; đối chiếu nhật ký kiểm toán.</t>
  </si>
  <si>
    <t>Hệ thống thực hiện đúng yêu cầu số 68, tạo đầu ra/trạng thái theo mô tả; dữ liệu được kiểm tra nhất quán, lỗi được cảnh báo/xử lý an toàn, phân quyền được áp dụng và thao tác được ghi log.</t>
  </si>
  <si>
    <t>69</t>
  </si>
  <si>
    <t>Yêu cầu Bảng 1 số 69: Người dùng chọn tiêu chí báo cáo O/F → Hệ thống query ADS-B tracks đã correlate → Tính toán metrics → So sánh với planned values → Sinh báo cáo dạng bảng + biểu đồ → Export PDF/Excel/CSV</t>
  </si>
  <si>
    <t>Kiểm thử yêu cầu Bảng 1 số 69</t>
  </si>
  <si>
    <t>1. Chuẩn bị dữ liệu và quyền phù hợp cho yêu cầu số 69.
2. Thực hiện chuỗi nghiệp vụ: Người dùng chọn tiêu chí báo cáo O/F → Hệ thống query ADS-B tracks đã correlate → Tính toán metrics → So sánh với planned values → Sinh báo cáo dạng bảng + biểu đồ → Export PDF/Excel/CSV.
3. Kiểm tra dữ liệu đầu vào/đầu ra, giao diện, trạng thái, hiệu năng và trường hợp lỗi; đối chiếu nhật ký kiểm toán.</t>
  </si>
  <si>
    <t>Hệ thống thực hiện đúng yêu cầu số 69, tạo đầu ra/trạng thái theo mô tả; dữ liệu được kiểm tra nhất quán, lỗi được cảnh báo/xử lý an toàn, phân quyền được áp dụng và thao tác được ghi log.</t>
  </si>
  <si>
    <t>70</t>
  </si>
  <si>
    <t>Yêu cầu Bảng 1 số 70: Thiếu dữ liệu ADS-B cho một số chuyến → Đánh dấu PARTIAL_DATA. hiển thị cảnh báo và vẫn báo cáo với dữ liệu có sẵn</t>
  </si>
  <si>
    <t>Kiểm thử yêu cầu Bảng 1 số 70</t>
  </si>
  <si>
    <t>1. Chuẩn bị dữ liệu và quyền phù hợp cho yêu cầu số 70.
2. Thực hiện chuỗi nghiệp vụ: Thiếu dữ liệu ADS-B cho một số chuyến → Đánh dấu PARTIAL_DATA. hiển thị cảnh báo và vẫn báo cáo với dữ liệu có sẵn.
3. Kiểm tra dữ liệu đầu vào/đầu ra, giao diện, trạng thái, hiệu năng và trường hợp lỗi; đối chiếu nhật ký kiểm toán.</t>
  </si>
  <si>
    <t>Hệ thống thực hiện đúng yêu cầu số 70, tạo đầu ra/trạng thái theo mô tả; dữ liệu được kiểm tra nhất quán, lỗi được cảnh báo/xử lý an toàn, phân quyền được áp dụng và thao tác được ghi log.</t>
  </si>
  <si>
    <t>71</t>
  </si>
  <si>
    <t>Yêu cầu Bảng 1 số 71: Chọn bộ KPIs → Hệ thống aggregate theo dimension → Tính toán benchmark → Hiển thị ranking. heatmap. trend comparison → Cho phép drill-down từ aggregate vào chi tiết từng chuyến</t>
  </si>
  <si>
    <t>Kiểm thử yêu cầu Bảng 1 số 71</t>
  </si>
  <si>
    <t>1. Chuẩn bị dữ liệu và quyền phù hợp cho yêu cầu số 71.
2. Thực hiện chuỗi nghiệp vụ: Chọn bộ KPIs → Hệ thống aggregate theo dimension → Tính toán benchmark → Hiển thị ranking. heatmap. trend comparison → Cho phép drill-down từ aggregate vào chi tiết từng chuyến.
3. Kiểm tra dữ liệu đầu vào/đầu ra, giao diện, trạng thái, hiệu năng và trường hợp lỗi; đối chiếu nhật ký kiểm toán.</t>
  </si>
  <si>
    <t>Hệ thống thực hiện đúng yêu cầu số 71, tạo đầu ra/trạng thái theo mô tả; dữ liệu được kiểm tra nhất quán, lỗi được cảnh báo/xử lý an toàn, phân quyền được áp dụng và thao tác được ghi log.</t>
  </si>
  <si>
    <t>72</t>
  </si>
  <si>
    <t>Yêu cầu Bảng 1 số 72: Người dùng chọn phạm vi → Hệ thống aggregate → Tính tỷ lệ % → Hiển \n39 thị pie chart + bar chart kép → Cho phép toggle → Hover để xem chi tiết số liệu → Export hình ảnh hoặc dữ liệu</t>
  </si>
  <si>
    <t>Kiểm thử yêu cầu Bảng 1 số 72</t>
  </si>
  <si>
    <t>1. Chuẩn bị dữ liệu và quyền phù hợp cho yêu cầu số 72.
2. Thực hiện chuỗi nghiệp vụ: Người dùng chọn phạm vi → Hệ thống aggregate → Tính tỷ lệ % → Hiển \n39 thị pie chart + bar chart kép → Cho phép toggle → Hover để xem chi tiết số liệu → Export hình ảnh hoặc dữ liệu.
3. Kiểm tra dữ liệu đầu vào/đầu ra, giao diện, trạng thái, hiệu năng và trường hợp lỗi; đối chiếu nhật ký kiểm toán.</t>
  </si>
  <si>
    <t>Hệ thống thực hiện đúng yêu cầu số 72, tạo đầu ra/trạng thái theo mô tả; dữ liệu được kiểm tra nhất quán, lỗi được cảnh báo/xử lý an toàn, phân quyền được áp dụng và thao tác được ghi log.</t>
  </si>
  <si>
    <t>73</t>
  </si>
  <si>
    <t>Yêu cầu Bảng 1 số 73: Chọn nhóm sân bay so sánh → Chọn granularity thời gian → Chọn metrics → Hệ thống tính toán → Hiển thị grouped bar chart → Highlight sân bay có biến động → Export báo cáo so sánh</t>
  </si>
  <si>
    <t>Kiểm thử yêu cầu Bảng 1 số 73</t>
  </si>
  <si>
    <t>1. Chuẩn bị dữ liệu và quyền phù hợp cho yêu cầu số 73.
2. Thực hiện chuỗi nghiệp vụ: Chọn nhóm sân bay so sánh → Chọn granularity thời gian → Chọn metrics → Hệ thống tính toán → Hiển thị grouped bar chart → Highlight sân bay có biến động → Export báo cáo so sánh.
3. Kiểm tra dữ liệu đầu vào/đầu ra, giao diện, trạng thái, hiệu năng và trường hợp lỗi; đối chiếu nhật ký kiểm toán.</t>
  </si>
  <si>
    <t>Hệ thống thực hiện đúng yêu cầu số 73, tạo đầu ra/trạng thái theo mô tả; dữ liệu được kiểm tra nhất quán, lỗi được cảnh báo/xử lý an toàn, phân quyền được áp dụng và thao tác được ghi log.</t>
  </si>
  <si>
    <t>74</t>
  </si>
  <si>
    <t>Yêu cầu Bảng 1 số 74: Mở báo cáo Military Flight → Chọn criteria → Hệ thống aggregate → Hiển thị bảng + biểu đồ → Cho phép drill-down → Export PDF/Excel với watermark</t>
  </si>
  <si>
    <t>Kiểm thử yêu cầu Bảng 1 số 74</t>
  </si>
  <si>
    <t>1. Chuẩn bị dữ liệu và quyền phù hợp cho yêu cầu số 74.
2. Thực hiện chuỗi nghiệp vụ: Mở báo cáo Military Flight → Chọn criteria → Hệ thống aggregate → Hiển thị bảng + biểu đồ → Cho phép drill-down → Export PDF/Excel với watermark.
3. Kiểm tra dữ liệu đầu vào/đầu ra, giao diện, trạng thái, hiệu năng và trường hợp lỗi; đối chiếu nhật ký kiểm toán.</t>
  </si>
  <si>
    <t>Hệ thống thực hiện đúng yêu cầu số 74, tạo đầu ra/trạng thái theo mô tả; dữ liệu được kiểm tra nhất quán, lỗi được cảnh báo/xử lý an toàn, phân quyền được áp dụng và thao tác được ghi log.</t>
  </si>
  <si>
    <t>75</t>
  </si>
  <si>
    <t>Yêu cầu Bảng 1 số 75: Mở báo cáo Consolidated Airport Report → Chọn filters linh hoạt TỔNG HỢP SỐ LIỆU TỰ ĐỘNG</t>
  </si>
  <si>
    <t>Kiểm thử yêu cầu Bảng 1 số 75</t>
  </si>
  <si>
    <t>1. Chuẩn bị dữ liệu và quyền phù hợp cho yêu cầu số 75.
2. Thực hiện chuỗi nghiệp vụ: Mở báo cáo Consolidated Airport Report → Chọn filters linh hoạt TỔNG HỢP SỐ LIỆU TỰ ĐỘNG.
3. Kiểm tra dữ liệu đầu vào/đầu ra, giao diện, trạng thái, hiệu năng và trường hợp lỗi; đối chiếu nhật ký kiểm toán.</t>
  </si>
  <si>
    <t>Hệ thống thực hiện đúng yêu cầu số 75, tạo đầu ra/trạng thái theo mô tả; dữ liệu được kiểm tra nhất quán, lỗi được cảnh báo/xử lý an toàn, phân quyền được áp dụng và thao tác được ghi log.</t>
  </si>
  <si>
    <t>76</t>
  </si>
  <si>
    <t>Yêu cầu Bảng 1 số 76: Người dùng nhập câu hỏi → Chatbot tokenize và phân tích cú pháp → Nhận diện intent + entities → Map sang query cấu trúc → Chuyển truy vấn sang module xử lý dữ liệu → Nhận kết quả và sinh câu trả lời tự nhiên → Hiển thị kèm formatted data</t>
  </si>
  <si>
    <t>NHÓM 5: ỨNG DỤNG AI HỖ TRỢ THỐNG KÊ, TÌM KIẾM VÀ TỔNG HỢP SỐ LIỆU TỰ ĐỘNG; Phân loại: Dữ liệu đầu vào/ra</t>
  </si>
  <si>
    <t>Kiểm thử yêu cầu Bảng 1 số 76</t>
  </si>
  <si>
    <t>1. Chuẩn bị dữ liệu và quyền phù hợp cho yêu cầu số 76.
2. Thực hiện chuỗi nghiệp vụ: Người dùng nhập câu hỏi → Chatbot tokenize và phân tích cú pháp → Nhận diện intent + entities → Map sang query cấu trúc → Chuyển truy vấn sang module xử lý dữ liệu → Nhận kết quả và sinh câu trả lời tự nhiên → Hiển thị kèm formatted data.
3. Kiểm tra dữ liệu đầu vào/đầu ra, giao diện, trạng thái, hiệu năng và trường hợp lỗi; đối chiếu nhật ký kiểm toán.</t>
  </si>
  <si>
    <t>Hệ thống thực hiện đúng yêu cầu số 76, tạo đầu ra/trạng thái theo mô tả; dữ liệu được kiểm tra nhất quán, lỗi được cảnh báo/xử lý an toàn, phân quyền được áp dụng và thao tác được ghi log.</t>
  </si>
  <si>
    <t>77</t>
  </si>
  <si>
    <t>Yêu cầu Bảng 1 số 77: Câu hỏi mơ hồ hoặc thiếu thông tin → Chatbot hỏi lại làm rõ hoặc đề xuất các lựa chọn phổ biến</t>
  </si>
  <si>
    <t>NHÓM 5: ỨNG DỤNG AI HỖ TRỢ THỐNG KÊ, TÌM KIẾM VÀ TỔNG HỢP SỐ LIỆU TỰ ĐỘNG; Phân loại: Dữ liệu đầu ra</t>
  </si>
  <si>
    <t>Kiểm thử yêu cầu Bảng 1 số 77</t>
  </si>
  <si>
    <t>1. Chuẩn bị dữ liệu và quyền phù hợp cho yêu cầu số 77.
2. Thực hiện chuỗi nghiệp vụ: Câu hỏi mơ hồ hoặc thiếu thông tin → Chatbot hỏi lại làm rõ hoặc đề xuất các lựa chọn phổ biến.
3. Kiểm tra dữ liệu đầu vào/đầu ra, giao diện, trạng thái, hiệu năng và trường hợp lỗi; đối chiếu nhật ký kiểm toán.</t>
  </si>
  <si>
    <t>Hệ thống thực hiện đúng yêu cầu số 77, tạo đầu ra/trạng thái theo mô tả; dữ liệu được kiểm tra nhất quán, lỗi được cảnh báo/xử lý an toàn, phân quyền được áp dụng và thao tác được ghi log.</t>
  </si>
  <si>
    <t>78</t>
  </si>
  <si>
    <t>Yêu cầu Bảng 1 số 78: Nhận query object → Query Builder sinh SQL/API call → Thực thi truy vấn → Nếu kết quả lớn: áp dụng aggregation → Format kết quả thành JSON → Chuyển sang module sinh câu trả lời</t>
  </si>
  <si>
    <t>Kiểm thử yêu cầu Bảng 1 số 78</t>
  </si>
  <si>
    <t>1. Chuẩn bị dữ liệu và quyền phù hợp cho yêu cầu số 78.
2. Thực hiện chuỗi nghiệp vụ: Nhận query object → Query Builder sinh SQL/API call → Thực thi truy vấn → Nếu kết quả lớn: áp dụng aggregation → Format kết quả thành JSON → Chuyển sang module sinh câu trả lời.
3. Kiểm tra dữ liệu đầu vào/đầu ra, giao diện, trạng thái, hiệu năng và trường hợp lỗi; đối chiếu nhật ký kiểm toán.</t>
  </si>
  <si>
    <t>Hệ thống thực hiện đúng yêu cầu số 78, tạo đầu ra/trạng thái theo mô tả; dữ liệu được kiểm tra nhất quán, lỗi được cảnh báo/xử lý an toàn, phân quyền được áp dụng và thao tác được ghi log.</t>
  </si>
  <si>
    <t>79</t>
  </si>
  <si>
    <t>Yêu cầu Bảng 1 số 79: Truy vấn quá phức tạp hoặc tốn tài nguyên → Hệ thống đề xuất giới hạn phạm vi hoặc chạy background với notification khi hoàn thành</t>
  </si>
  <si>
    <t>Kiểm thử yêu cầu Bảng 1 số 79</t>
  </si>
  <si>
    <t>1. Chuẩn bị dữ liệu và quyền phù hợp cho yêu cầu số 79.
2. Thực hiện chuỗi nghiệp vụ: Truy vấn quá phức tạp hoặc tốn tài nguyên → Hệ thống đề xuất giới hạn phạm vi hoặc chạy background với notification khi hoàn thành.
3. Kiểm tra dữ liệu đầu vào/đầu ra, giao diện, trạng thái, hiệu năng và trường hợp lỗi; đối chiếu nhật ký kiểm toán.</t>
  </si>
  <si>
    <t>Hệ thống thực hiện đúng yêu cầu số 79, tạo đầu ra/trạng thái theo mô tả; dữ liệu được kiểm tra nhất quán, lỗi được cảnh báo/xử lý an toàn, phân quyền được áp dụng và thao tác được ghi log.</t>
  </si>
  <si>
    <t>80</t>
  </si>
  <si>
    <t>Yêu cầu Bảng 1 số 80: Thêm chat icon cố định ở góc màn hình → Khi click: mở chat panel → Hiển thị welcome message → Hỗ trợ input: text + voice + quick-reply \n40 buttons → Kết quả hiển thị trong chat → Hỗ trợ keyboard shortcut</t>
  </si>
  <si>
    <t>Kiểm thử yêu cầu Bảng 1 số 80</t>
  </si>
  <si>
    <t>1. Chuẩn bị dữ liệu và quyền phù hợp cho yêu cầu số 80.
2. Thực hiện chuỗi nghiệp vụ: Thêm chat icon cố định ở góc màn hình → Khi click: mở chat panel → Hiển thị welcome message → Hỗ trợ input: text + voice + quick-reply \n40 buttons → Kết quả hiển thị trong chat → Hỗ trợ keyboard shortcut.
3. Kiểm tra dữ liệu đầu vào/đầu ra, giao diện, trạng thái, hiệu năng và trường hợp lỗi; đối chiếu nhật ký kiểm toán.</t>
  </si>
  <si>
    <t>Hệ thống thực hiện đúng yêu cầu số 80, tạo đầu ra/trạng thái theo mô tả; dữ liệu được kiểm tra nhất quán, lỗi được cảnh báo/xử lý an toàn, phân quyền được áp dụng và thao tác được ghi log.</t>
  </si>
  <si>
    <t>81</t>
  </si>
  <si>
    <t>Yêu cầu Bảng 1 số 81: User đang làm việc với form quan trọng → Chatbot không auto-popup. chỉ hiển thị badge notification khi có alert quan trọng</t>
  </si>
  <si>
    <t>Kiểm thử yêu cầu Bảng 1 số 81</t>
  </si>
  <si>
    <t>1. Chuẩn bị dữ liệu và quyền phù hợp cho yêu cầu số 81.
2. Thực hiện chuỗi nghiệp vụ: User đang làm việc với form quan trọng → Chatbot không auto-popup. chỉ hiển thị badge notification khi có alert quan trọng.
3. Kiểm tra dữ liệu đầu vào/đầu ra, giao diện, trạng thái, hiệu năng và trường hợp lỗi; đối chiếu nhật ký kiểm toán.</t>
  </si>
  <si>
    <t>Hệ thống thực hiện đúng yêu cầu số 81, tạo đầu ra/trạng thái theo mô tả; dữ liệu được kiểm tra nhất quán, lỗi được cảnh báo/xử lý an toàn, phân quyền được áp dụng và thao tác được ghi log.</t>
  </si>
  <si>
    <t>82</t>
  </si>
  <si>
    <t>Yêu cầu Bảng 1 số 82: Thu thập metrics: số câu hỏi/ngày. tỷ lệ các loại truy vấn. % query được xử lý đúng ngay lần đầu</t>
  </si>
  <si>
    <t>Kiểm thử yêu cầu Bảng 1 số 82</t>
  </si>
  <si>
    <t>1. Chuẩn bị dữ liệu và quyền phù hợp cho yêu cầu số 82.
2. Thực hiện chuỗi nghiệp vụ: Thu thập metrics: số câu hỏi/ngày. tỷ lệ các loại truy vấn. % query được xử lý đúng ngay lần đầu.
3. Kiểm tra dữ liệu đầu vào/đầu ra, giao diện, trạng thái, hiệu năng và trường hợp lỗi; đối chiếu nhật ký kiểm toán.</t>
  </si>
  <si>
    <t>Hệ thống thực hiện đúng yêu cầu số 82, tạo đầu ra/trạng thái theo mô tả; dữ liệu được kiểm tra nhất quán, lỗi được cảnh báo/xử lý an toàn, phân quyền được áp dụng và thao tác được ghi 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</si>
</sst>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u/>
      <sz val="12"/>
      <color rgb="FF1155CC"/>
      <name val="Times New Roman"/>
    </font>
    <font>
      <sz val="12"/>
      <color rgb="FF1F1F1F"/>
      <name val="Times New Roman"/>
    </font>
    <font>
      <sz val="12"/>
      <color rgb="FFFF0000"/>
      <name val="Times New Roman"/>
    </font>
    <font>
      <sz val="10"/>
      <color rgb="FFFF0000"/>
      <name val="Arial"/>
    </font>
    <font>
      <u/>
      <sz val="12"/>
      <color rgb="FFFF0000"/>
      <name val="Times New Roman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0"/>
      <color rgb="FF0000FF"/>
      <name val="Times New Roman"/>
      <family val="1"/>
    </font>
    <font>
      <u/>
      <sz val="10"/>
      <color rgb="FF1155CC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1" fillId="0" borderId="1" xfId="0" applyFont="1" applyBorder="1"/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6" xfId="0" applyFont="1" applyBorder="1"/>
    <xf numFmtId="0" fontId="1" fillId="0" borderId="5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0" fillId="0" borderId="6" xfId="0" applyFont="1" applyBorder="1"/>
    <xf numFmtId="0" fontId="10" fillId="0" borderId="1" xfId="0" applyFont="1" applyBorder="1" applyAlignment="1">
      <alignment wrapText="1"/>
    </xf>
    <xf numFmtId="0" fontId="10" fillId="0" borderId="1" xfId="0" applyFont="1" applyBorder="1"/>
    <xf numFmtId="0" fontId="10" fillId="0" borderId="5" xfId="0" applyFont="1" applyBorder="1"/>
    <xf numFmtId="0" fontId="10" fillId="0" borderId="1" xfId="0" applyFont="1" applyBorder="1" applyAlignment="1"/>
    <xf numFmtId="0" fontId="11" fillId="0" borderId="1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13" fillId="0" borderId="1" xfId="0" applyFont="1" applyBorder="1" applyAlignment="1">
      <alignment wrapText="1"/>
    </xf>
    <xf numFmtId="0" fontId="11" fillId="2" borderId="2" xfId="0" applyFont="1" applyFill="1" applyBorder="1" applyAlignment="1">
      <alignment horizontal="center" wrapText="1"/>
    </xf>
    <xf numFmtId="0" fontId="9" fillId="0" borderId="3" xfId="0" applyFont="1" applyBorder="1"/>
    <xf numFmtId="0" fontId="9" fillId="0" borderId="4" xfId="0" applyFont="1" applyBorder="1"/>
    <xf numFmtId="0" fontId="11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bang_hungyen.poc-app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307"/>
  <sheetViews>
    <sheetView tabSelected="1" topLeftCell="A78" workbookViewId="0">
      <selection activeCell="E79" sqref="E79"/>
    </sheetView>
  </sheetViews>
  <sheetFormatPr defaultColWidth="12.5703125" defaultRowHeight="15.75" customHeight="1" x14ac:dyDescent="0.2"/>
  <cols>
    <col min="1" max="1" width="10.85546875" customWidth="1"/>
    <col min="2" max="2" width="34.42578125" customWidth="1"/>
    <col min="3" max="3" width="29.42578125" customWidth="1"/>
    <col min="4" max="4" width="34.140625" customWidth="1"/>
    <col min="5" max="5" width="39.28515625" customWidth="1"/>
    <col min="6" max="6" width="43.42578125" style="23" customWidth="1"/>
  </cols>
  <sheetData>
    <row r="1" spans="1:17" ht="15.75" customHeight="1" x14ac:dyDescent="0.25">
      <c r="A1" s="1"/>
      <c r="B1" s="1"/>
      <c r="C1" s="1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3" t="s">
        <v>8</v>
      </c>
      <c r="M1" s="4" t="s">
        <v>9</v>
      </c>
      <c r="N1" s="4" t="s">
        <v>10</v>
      </c>
      <c r="O1" s="4" t="s">
        <v>11</v>
      </c>
      <c r="P1" s="1"/>
      <c r="Q1" s="1"/>
    </row>
    <row r="2" spans="1:17" ht="15.75" customHeight="1" x14ac:dyDescent="0.25">
      <c r="A2" s="1"/>
      <c r="B2" s="1"/>
      <c r="C2" s="5" t="s">
        <v>12</v>
      </c>
      <c r="D2" s="6">
        <f>COUNTIF(H8:H652, "Đạt")</f>
        <v>0</v>
      </c>
      <c r="E2" s="6">
        <f>COUNTIF(H8:H652, "Không đạt")</f>
        <v>0</v>
      </c>
      <c r="F2" s="6">
        <f>COUNTIF(H8:H652, "Không kiểm thử được")</f>
        <v>0</v>
      </c>
      <c r="G2" s="6">
        <f>COUNTIF(H8:H652, "Cần confirm")</f>
        <v>0</v>
      </c>
      <c r="H2" s="6">
        <f>COUNTIF(H8:H652, "Ảnh hưởng")</f>
        <v>0</v>
      </c>
      <c r="I2" s="6">
        <f t="shared" ref="I2:I3" si="0">SUM(D2:H2)</f>
        <v>0</v>
      </c>
      <c r="J2" s="6">
        <f t="shared" ref="J2:J3" si="1">K2-H2-G2-F2-E2-D2</f>
        <v>81</v>
      </c>
      <c r="K2" s="6">
        <f>COUNTA(F6:F654)</f>
        <v>81</v>
      </c>
      <c r="L2" s="6">
        <f>COUNTIF(K7:Z1001, "Hoàn thành")</f>
        <v>0</v>
      </c>
      <c r="M2" s="6">
        <f>COUNTIF(K8:K1001, "Reject")</f>
        <v>0</v>
      </c>
      <c r="N2" s="6">
        <f>COUNTIF(K8:K1001, "Đang kiểm tra")</f>
        <v>0</v>
      </c>
      <c r="O2" s="6">
        <f>COUNTIF(K8:K1001, "Đã phản hồi")</f>
        <v>0</v>
      </c>
      <c r="P2" s="1"/>
      <c r="Q2" s="1"/>
    </row>
    <row r="3" spans="1:17" ht="15.75" customHeight="1" x14ac:dyDescent="0.25">
      <c r="A3" s="1"/>
      <c r="B3" s="1"/>
      <c r="C3" s="5" t="s">
        <v>13</v>
      </c>
      <c r="D3" s="6">
        <f>COUNTIF(L4:L10005, "Đạt")</f>
        <v>0</v>
      </c>
      <c r="E3" s="6">
        <f>COUNTIF(L4:L6564, "Không đạt")</f>
        <v>0</v>
      </c>
      <c r="F3" s="6">
        <f>COUNTIF(L4:L6564, "Không kiểm thử được")</f>
        <v>0</v>
      </c>
      <c r="G3" s="6">
        <f>COUNTIF(L6:L6564, "Cần confirm")</f>
        <v>0</v>
      </c>
      <c r="H3" s="6">
        <f>COUNTIF(L4:L10005, "Ảnh hưởng")</f>
        <v>0</v>
      </c>
      <c r="I3" s="6">
        <f t="shared" si="0"/>
        <v>0</v>
      </c>
      <c r="J3" s="6">
        <f t="shared" si="1"/>
        <v>81</v>
      </c>
      <c r="K3" s="6">
        <f>COUNTA(F6:F654)</f>
        <v>81</v>
      </c>
      <c r="L3" s="1"/>
      <c r="M3" s="1"/>
      <c r="N3" s="1"/>
      <c r="O3" s="1"/>
      <c r="P3" s="1"/>
      <c r="Q3" s="1"/>
    </row>
    <row r="4" spans="1:17" ht="12.75" x14ac:dyDescent="0.2">
      <c r="A4" s="1"/>
      <c r="B4" s="1"/>
      <c r="C4" s="1"/>
      <c r="D4" s="1"/>
      <c r="E4" s="1"/>
      <c r="F4" s="22"/>
      <c r="G4" s="7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5.5" x14ac:dyDescent="0.2">
      <c r="A5" s="29" t="s">
        <v>14</v>
      </c>
      <c r="B5" s="29" t="s">
        <v>15</v>
      </c>
      <c r="C5" s="29" t="s">
        <v>16</v>
      </c>
      <c r="D5" s="29" t="s">
        <v>17</v>
      </c>
      <c r="E5" s="29" t="s">
        <v>18</v>
      </c>
      <c r="F5" s="29" t="s">
        <v>19</v>
      </c>
      <c r="G5" s="29" t="s">
        <v>20</v>
      </c>
      <c r="H5" s="37" t="s">
        <v>12</v>
      </c>
      <c r="I5" s="38"/>
      <c r="J5" s="38"/>
      <c r="K5" s="39"/>
      <c r="L5" s="40" t="s">
        <v>13</v>
      </c>
      <c r="M5" s="38"/>
      <c r="N5" s="38"/>
      <c r="O5" s="39"/>
      <c r="P5" s="30" t="s">
        <v>21</v>
      </c>
      <c r="Q5" s="1"/>
    </row>
    <row r="6" spans="1:17" ht="114.75" x14ac:dyDescent="0.2">
      <c r="A6" s="31" t="s">
        <v>30</v>
      </c>
      <c r="B6" s="33" t="s">
        <v>22</v>
      </c>
      <c r="C6" s="33" t="s">
        <v>23</v>
      </c>
      <c r="D6" s="24"/>
      <c r="E6" s="34" t="s">
        <v>32</v>
      </c>
      <c r="F6" s="25" t="s">
        <v>33</v>
      </c>
      <c r="G6" s="26"/>
      <c r="H6" s="29"/>
      <c r="I6" s="29"/>
      <c r="J6" s="29"/>
      <c r="K6" s="29"/>
      <c r="L6" s="29"/>
      <c r="M6" s="29"/>
      <c r="N6" s="29"/>
      <c r="O6" s="29"/>
      <c r="P6" s="26"/>
      <c r="Q6" s="1"/>
    </row>
    <row r="7" spans="1:17" ht="102" x14ac:dyDescent="0.2">
      <c r="A7" s="27" t="s">
        <v>24</v>
      </c>
      <c r="B7" s="24" t="s">
        <v>34</v>
      </c>
      <c r="C7" s="24" t="s">
        <v>35</v>
      </c>
      <c r="D7" s="33" t="s">
        <v>36</v>
      </c>
      <c r="E7" s="25" t="s">
        <v>37</v>
      </c>
      <c r="F7" s="25" t="s">
        <v>38</v>
      </c>
      <c r="G7" s="26"/>
      <c r="H7" s="26"/>
      <c r="I7" s="26"/>
      <c r="J7" s="26"/>
      <c r="K7" s="26"/>
      <c r="L7" s="26"/>
      <c r="M7" s="25"/>
      <c r="N7" s="26"/>
      <c r="O7" s="25"/>
      <c r="P7" s="26"/>
      <c r="Q7" s="1"/>
    </row>
    <row r="8" spans="1:17" ht="114.75" x14ac:dyDescent="0.2">
      <c r="A8" s="27" t="s">
        <v>25</v>
      </c>
      <c r="B8" s="24" t="s">
        <v>39</v>
      </c>
      <c r="C8" s="24" t="s">
        <v>40</v>
      </c>
      <c r="D8" s="33" t="s">
        <v>41</v>
      </c>
      <c r="E8" s="25" t="s">
        <v>42</v>
      </c>
      <c r="F8" s="25" t="s">
        <v>43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1"/>
    </row>
    <row r="9" spans="1:17" ht="127.5" x14ac:dyDescent="0.2">
      <c r="A9" s="27" t="s">
        <v>26</v>
      </c>
      <c r="B9" s="24" t="s">
        <v>44</v>
      </c>
      <c r="C9" s="24" t="s">
        <v>35</v>
      </c>
      <c r="D9" s="33" t="s">
        <v>45</v>
      </c>
      <c r="E9" s="25" t="s">
        <v>46</v>
      </c>
      <c r="F9" s="25" t="s">
        <v>47</v>
      </c>
      <c r="G9" s="26"/>
      <c r="H9" s="26"/>
      <c r="I9" s="26"/>
      <c r="J9" s="26"/>
      <c r="K9" s="26"/>
      <c r="L9" s="26"/>
      <c r="M9" s="25"/>
      <c r="N9" s="26"/>
      <c r="O9" s="25"/>
      <c r="P9" s="25"/>
      <c r="Q9" s="1"/>
    </row>
    <row r="10" spans="1:17" ht="114.75" x14ac:dyDescent="0.2">
      <c r="A10" s="27" t="s">
        <v>27</v>
      </c>
      <c r="B10" s="24" t="s">
        <v>48</v>
      </c>
      <c r="C10" s="24" t="s">
        <v>40</v>
      </c>
      <c r="D10" s="33" t="s">
        <v>49</v>
      </c>
      <c r="E10" s="25" t="s">
        <v>50</v>
      </c>
      <c r="F10" s="25" t="s">
        <v>51</v>
      </c>
      <c r="G10" s="26"/>
      <c r="H10" s="26"/>
      <c r="I10" s="26"/>
      <c r="J10" s="26"/>
      <c r="K10" s="26"/>
      <c r="L10" s="26"/>
      <c r="M10" s="25"/>
      <c r="N10" s="26"/>
      <c r="O10" s="25"/>
      <c r="P10" s="26"/>
      <c r="Q10" s="1"/>
    </row>
    <row r="11" spans="1:17" ht="102" x14ac:dyDescent="0.2">
      <c r="A11" s="27" t="s">
        <v>28</v>
      </c>
      <c r="B11" s="24" t="s">
        <v>52</v>
      </c>
      <c r="C11" s="24" t="s">
        <v>31</v>
      </c>
      <c r="D11" s="33" t="s">
        <v>53</v>
      </c>
      <c r="E11" s="25" t="s">
        <v>54</v>
      </c>
      <c r="F11" s="25" t="s">
        <v>55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1"/>
    </row>
    <row r="12" spans="1:17" ht="114.75" x14ac:dyDescent="0.2">
      <c r="A12" s="27" t="s">
        <v>29</v>
      </c>
      <c r="B12" s="24" t="s">
        <v>56</v>
      </c>
      <c r="C12" s="24" t="s">
        <v>40</v>
      </c>
      <c r="D12" s="33" t="s">
        <v>57</v>
      </c>
      <c r="E12" s="25" t="s">
        <v>58</v>
      </c>
      <c r="F12" s="25" t="s">
        <v>59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1"/>
    </row>
    <row r="13" spans="1:17" ht="15.75" customHeight="1" x14ac:dyDescent="0.2">
      <c r="A13" s="27" t="s">
        <v>60</v>
      </c>
      <c r="B13" s="24" t="s">
        <v>61</v>
      </c>
      <c r="C13" s="24" t="s">
        <v>62</v>
      </c>
      <c r="D13" s="33" t="s">
        <v>63</v>
      </c>
      <c r="E13" s="25" t="s">
        <v>64</v>
      </c>
      <c r="F13" s="25" t="s">
        <v>65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1"/>
    </row>
    <row r="14" spans="1:17" ht="15.75" customHeight="1" x14ac:dyDescent="0.2">
      <c r="A14" s="27" t="s">
        <v>66</v>
      </c>
      <c r="B14" s="24" t="s">
        <v>67</v>
      </c>
      <c r="C14" s="24" t="s">
        <v>68</v>
      </c>
      <c r="D14" s="33" t="s">
        <v>69</v>
      </c>
      <c r="E14" s="25" t="s">
        <v>70</v>
      </c>
      <c r="F14" s="25" t="s">
        <v>71</v>
      </c>
      <c r="G14" s="26"/>
      <c r="H14" s="26"/>
      <c r="I14" s="26"/>
      <c r="J14" s="26"/>
      <c r="K14" s="26"/>
      <c r="L14" s="26"/>
      <c r="M14" s="25"/>
      <c r="N14" s="26"/>
      <c r="O14" s="25"/>
      <c r="P14" s="25"/>
      <c r="Q14" s="1"/>
    </row>
    <row r="15" spans="1:17" ht="15.75" customHeight="1" x14ac:dyDescent="0.2">
      <c r="A15" s="27" t="s">
        <v>72</v>
      </c>
      <c r="B15" s="24" t="s">
        <v>73</v>
      </c>
      <c r="C15" s="24" t="s">
        <v>74</v>
      </c>
      <c r="D15" s="33" t="s">
        <v>75</v>
      </c>
      <c r="E15" s="25" t="s">
        <v>76</v>
      </c>
      <c r="F15" s="25" t="s">
        <v>77</v>
      </c>
      <c r="G15" s="26"/>
      <c r="H15" s="26"/>
      <c r="I15" s="25"/>
      <c r="J15" s="26"/>
      <c r="K15" s="26"/>
      <c r="L15" s="26"/>
      <c r="M15" s="26"/>
      <c r="N15" s="26"/>
      <c r="O15" s="26"/>
      <c r="P15" s="26"/>
      <c r="Q15" s="1"/>
    </row>
    <row r="16" spans="1:17" ht="15.75" customHeight="1" x14ac:dyDescent="0.2">
      <c r="A16" s="31" t="s">
        <v>78</v>
      </c>
      <c r="B16" s="32" t="s">
        <v>79</v>
      </c>
      <c r="C16" s="33" t="s">
        <v>80</v>
      </c>
      <c r="D16" s="24" t="s">
        <v>81</v>
      </c>
      <c r="E16" s="25" t="s">
        <v>82</v>
      </c>
      <c r="F16" s="25" t="s">
        <v>83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1"/>
    </row>
    <row r="17" spans="1:17" ht="15.75" customHeight="1" x14ac:dyDescent="0.2">
      <c r="A17" s="27" t="s">
        <v>84</v>
      </c>
      <c r="B17" s="24" t="s">
        <v>85</v>
      </c>
      <c r="C17" s="24" t="s">
        <v>80</v>
      </c>
      <c r="D17" s="33" t="s">
        <v>86</v>
      </c>
      <c r="E17" s="25" t="s">
        <v>87</v>
      </c>
      <c r="F17" s="25" t="s">
        <v>88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1"/>
    </row>
    <row r="18" spans="1:17" ht="15.75" customHeight="1" x14ac:dyDescent="0.2">
      <c r="A18" s="27" t="s">
        <v>89</v>
      </c>
      <c r="B18" s="24" t="s">
        <v>90</v>
      </c>
      <c r="C18" s="24" t="s">
        <v>91</v>
      </c>
      <c r="D18" s="33" t="s">
        <v>92</v>
      </c>
      <c r="E18" s="25" t="s">
        <v>93</v>
      </c>
      <c r="F18" s="25" t="s">
        <v>94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1"/>
    </row>
    <row r="19" spans="1:17" ht="15.75" customHeight="1" x14ac:dyDescent="0.2">
      <c r="A19" s="27" t="s">
        <v>95</v>
      </c>
      <c r="B19" s="24" t="s">
        <v>96</v>
      </c>
      <c r="C19" s="24" t="s">
        <v>74</v>
      </c>
      <c r="D19" s="33" t="s">
        <v>97</v>
      </c>
      <c r="E19" s="25" t="s">
        <v>98</v>
      </c>
      <c r="F19" s="25" t="s">
        <v>99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1"/>
    </row>
    <row r="20" spans="1:17" ht="15.75" customHeight="1" x14ac:dyDescent="0.2">
      <c r="A20" s="27" t="s">
        <v>100</v>
      </c>
      <c r="B20" s="24" t="s">
        <v>101</v>
      </c>
      <c r="C20" s="24" t="s">
        <v>91</v>
      </c>
      <c r="D20" s="33" t="s">
        <v>102</v>
      </c>
      <c r="E20" s="25" t="s">
        <v>103</v>
      </c>
      <c r="F20" s="25" t="s">
        <v>104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1"/>
    </row>
    <row r="21" spans="1:17" ht="140.25" x14ac:dyDescent="0.2">
      <c r="A21" s="27" t="s">
        <v>105</v>
      </c>
      <c r="B21" s="24" t="s">
        <v>106</v>
      </c>
      <c r="C21" s="24" t="s">
        <v>74</v>
      </c>
      <c r="D21" s="33" t="s">
        <v>107</v>
      </c>
      <c r="E21" s="25" t="s">
        <v>108</v>
      </c>
      <c r="F21" s="25" t="s">
        <v>109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1"/>
    </row>
    <row r="22" spans="1:17" ht="102" x14ac:dyDescent="0.2">
      <c r="A22" s="27" t="s">
        <v>110</v>
      </c>
      <c r="B22" s="24" t="s">
        <v>111</v>
      </c>
      <c r="C22" s="24" t="s">
        <v>91</v>
      </c>
      <c r="D22" s="33" t="s">
        <v>112</v>
      </c>
      <c r="E22" s="25" t="s">
        <v>113</v>
      </c>
      <c r="F22" s="25" t="s">
        <v>114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1"/>
    </row>
    <row r="23" spans="1:17" ht="15.75" customHeight="1" x14ac:dyDescent="0.2">
      <c r="A23" s="31" t="s">
        <v>115</v>
      </c>
      <c r="B23" s="32" t="s">
        <v>116</v>
      </c>
      <c r="C23" s="33" t="s">
        <v>80</v>
      </c>
      <c r="D23" s="24" t="s">
        <v>117</v>
      </c>
      <c r="E23" s="25" t="s">
        <v>118</v>
      </c>
      <c r="F23" s="25" t="s">
        <v>119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1"/>
    </row>
    <row r="24" spans="1:17" ht="114.75" x14ac:dyDescent="0.2">
      <c r="A24" s="27" t="s">
        <v>120</v>
      </c>
      <c r="B24" s="24" t="s">
        <v>121</v>
      </c>
      <c r="C24" s="24" t="s">
        <v>80</v>
      </c>
      <c r="D24" s="33" t="s">
        <v>122</v>
      </c>
      <c r="E24" s="25" t="s">
        <v>123</v>
      </c>
      <c r="F24" s="25" t="s">
        <v>124</v>
      </c>
      <c r="G24" s="26"/>
      <c r="H24" s="26"/>
      <c r="I24" s="26"/>
      <c r="J24" s="26"/>
      <c r="K24" s="26"/>
      <c r="L24" s="26"/>
      <c r="M24" s="25"/>
      <c r="N24" s="26"/>
      <c r="O24" s="25"/>
      <c r="P24" s="25"/>
      <c r="Q24" s="1"/>
    </row>
    <row r="25" spans="1:17" ht="140.25" x14ac:dyDescent="0.2">
      <c r="A25" s="27" t="s">
        <v>125</v>
      </c>
      <c r="B25" s="24" t="s">
        <v>126</v>
      </c>
      <c r="C25" s="24" t="s">
        <v>91</v>
      </c>
      <c r="D25" s="33" t="s">
        <v>127</v>
      </c>
      <c r="E25" s="25" t="s">
        <v>128</v>
      </c>
      <c r="F25" s="25" t="s">
        <v>129</v>
      </c>
      <c r="G25" s="26"/>
      <c r="H25" s="26"/>
      <c r="I25" s="26"/>
      <c r="J25" s="26"/>
      <c r="K25" s="26"/>
      <c r="L25" s="26"/>
      <c r="M25" s="25"/>
      <c r="N25" s="26"/>
      <c r="O25" s="25"/>
      <c r="P25" s="26"/>
      <c r="Q25" s="1"/>
    </row>
    <row r="26" spans="1:17" ht="102" x14ac:dyDescent="0.2">
      <c r="A26" s="27" t="s">
        <v>130</v>
      </c>
      <c r="B26" s="24" t="s">
        <v>131</v>
      </c>
      <c r="C26" s="24" t="s">
        <v>91</v>
      </c>
      <c r="D26" s="33" t="s">
        <v>132</v>
      </c>
      <c r="E26" s="25" t="s">
        <v>133</v>
      </c>
      <c r="F26" s="25" t="s">
        <v>134</v>
      </c>
      <c r="G26" s="26"/>
      <c r="H26" s="26"/>
      <c r="I26" s="26"/>
      <c r="J26" s="26"/>
      <c r="K26" s="26"/>
      <c r="L26" s="26"/>
      <c r="M26" s="25"/>
      <c r="N26" s="26"/>
      <c r="O26" s="25"/>
      <c r="P26" s="25"/>
      <c r="Q26" s="1"/>
    </row>
    <row r="27" spans="1:17" ht="140.25" x14ac:dyDescent="0.2">
      <c r="A27" s="27" t="s">
        <v>135</v>
      </c>
      <c r="B27" s="24" t="s">
        <v>136</v>
      </c>
      <c r="C27" s="24" t="s">
        <v>80</v>
      </c>
      <c r="D27" s="33" t="s">
        <v>137</v>
      </c>
      <c r="E27" s="25" t="s">
        <v>138</v>
      </c>
      <c r="F27" s="25" t="s">
        <v>139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1"/>
    </row>
    <row r="28" spans="1:17" ht="102" x14ac:dyDescent="0.2">
      <c r="A28" s="27" t="s">
        <v>140</v>
      </c>
      <c r="B28" s="24" t="s">
        <v>141</v>
      </c>
      <c r="C28" s="24" t="s">
        <v>80</v>
      </c>
      <c r="D28" s="33" t="s">
        <v>142</v>
      </c>
      <c r="E28" s="25" t="s">
        <v>143</v>
      </c>
      <c r="F28" s="25" t="s">
        <v>144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1"/>
    </row>
    <row r="29" spans="1:17" ht="114.75" x14ac:dyDescent="0.2">
      <c r="A29" s="27" t="s">
        <v>145</v>
      </c>
      <c r="B29" s="24" t="s">
        <v>146</v>
      </c>
      <c r="C29" s="24" t="s">
        <v>91</v>
      </c>
      <c r="D29" s="33" t="s">
        <v>147</v>
      </c>
      <c r="E29" s="25" t="s">
        <v>148</v>
      </c>
      <c r="F29" s="25" t="s">
        <v>149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1"/>
    </row>
    <row r="30" spans="1:17" ht="102" x14ac:dyDescent="0.2">
      <c r="A30" s="27" t="s">
        <v>150</v>
      </c>
      <c r="B30" s="24" t="s">
        <v>151</v>
      </c>
      <c r="C30" s="24" t="s">
        <v>80</v>
      </c>
      <c r="D30" s="33" t="s">
        <v>152</v>
      </c>
      <c r="E30" s="25" t="s">
        <v>153</v>
      </c>
      <c r="F30" s="25" t="s">
        <v>154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1"/>
    </row>
    <row r="31" spans="1:17" ht="153" x14ac:dyDescent="0.2">
      <c r="A31" s="27" t="s">
        <v>155</v>
      </c>
      <c r="B31" s="24" t="s">
        <v>156</v>
      </c>
      <c r="C31" s="24" t="s">
        <v>80</v>
      </c>
      <c r="D31" s="33" t="s">
        <v>157</v>
      </c>
      <c r="E31" s="25" t="s">
        <v>158</v>
      </c>
      <c r="F31" s="25" t="s">
        <v>159</v>
      </c>
      <c r="G31" s="26"/>
      <c r="H31" s="26"/>
      <c r="I31" s="26"/>
      <c r="J31" s="26"/>
      <c r="K31" s="26"/>
      <c r="L31" s="26"/>
      <c r="M31" s="25"/>
      <c r="N31" s="26"/>
      <c r="O31" s="25"/>
      <c r="P31" s="25"/>
      <c r="Q31" s="1"/>
    </row>
    <row r="32" spans="1:17" ht="153" x14ac:dyDescent="0.2">
      <c r="A32" s="27" t="s">
        <v>160</v>
      </c>
      <c r="B32" s="24" t="s">
        <v>161</v>
      </c>
      <c r="C32" s="24" t="s">
        <v>74</v>
      </c>
      <c r="D32" s="33" t="s">
        <v>162</v>
      </c>
      <c r="E32" s="25" t="s">
        <v>163</v>
      </c>
      <c r="F32" s="25" t="s">
        <v>164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1"/>
    </row>
    <row r="33" spans="1:17" ht="102" x14ac:dyDescent="0.2">
      <c r="A33" s="31" t="s">
        <v>165</v>
      </c>
      <c r="B33" s="32" t="s">
        <v>166</v>
      </c>
      <c r="C33" s="33" t="s">
        <v>91</v>
      </c>
      <c r="D33" s="24" t="s">
        <v>167</v>
      </c>
      <c r="E33" s="25" t="s">
        <v>168</v>
      </c>
      <c r="F33" s="25" t="s">
        <v>169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1"/>
    </row>
    <row r="34" spans="1:17" ht="127.5" x14ac:dyDescent="0.2">
      <c r="A34" s="27" t="s">
        <v>170</v>
      </c>
      <c r="B34" s="24" t="s">
        <v>171</v>
      </c>
      <c r="C34" s="24" t="s">
        <v>80</v>
      </c>
      <c r="D34" s="33" t="s">
        <v>172</v>
      </c>
      <c r="E34" s="25" t="s">
        <v>173</v>
      </c>
      <c r="F34" s="25" t="s">
        <v>174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1"/>
    </row>
    <row r="35" spans="1:17" ht="102" x14ac:dyDescent="0.2">
      <c r="A35" s="27" t="s">
        <v>175</v>
      </c>
      <c r="B35" s="24" t="s">
        <v>176</v>
      </c>
      <c r="C35" s="24" t="s">
        <v>80</v>
      </c>
      <c r="D35" s="33" t="s">
        <v>177</v>
      </c>
      <c r="E35" s="25" t="s">
        <v>178</v>
      </c>
      <c r="F35" s="25" t="s">
        <v>179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1"/>
    </row>
    <row r="36" spans="1:17" ht="140.25" x14ac:dyDescent="0.2">
      <c r="A36" s="27" t="s">
        <v>180</v>
      </c>
      <c r="B36" s="24" t="s">
        <v>181</v>
      </c>
      <c r="C36" s="24" t="s">
        <v>80</v>
      </c>
      <c r="D36" s="33" t="s">
        <v>182</v>
      </c>
      <c r="E36" s="25" t="s">
        <v>183</v>
      </c>
      <c r="F36" s="35" t="s">
        <v>184</v>
      </c>
      <c r="G36" s="26"/>
      <c r="H36" s="26"/>
      <c r="I36" s="26"/>
      <c r="J36" s="26"/>
      <c r="K36" s="26"/>
      <c r="L36" s="26"/>
      <c r="M36" s="36"/>
      <c r="N36" s="26"/>
      <c r="O36" s="25"/>
      <c r="P36" s="26"/>
      <c r="Q36" s="1"/>
    </row>
    <row r="37" spans="1:17" ht="102" x14ac:dyDescent="0.2">
      <c r="A37" s="27" t="s">
        <v>185</v>
      </c>
      <c r="B37" s="24" t="s">
        <v>186</v>
      </c>
      <c r="C37" s="24" t="s">
        <v>91</v>
      </c>
      <c r="D37" s="33" t="s">
        <v>187</v>
      </c>
      <c r="E37" s="25" t="s">
        <v>188</v>
      </c>
      <c r="F37" s="25" t="s">
        <v>189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1"/>
    </row>
    <row r="38" spans="1:17" ht="114.75" x14ac:dyDescent="0.2">
      <c r="A38" s="31" t="s">
        <v>190</v>
      </c>
      <c r="B38" s="32" t="s">
        <v>191</v>
      </c>
      <c r="C38" s="33" t="s">
        <v>91</v>
      </c>
      <c r="D38" s="24" t="s">
        <v>192</v>
      </c>
      <c r="E38" s="25" t="s">
        <v>193</v>
      </c>
      <c r="F38" s="25" t="s">
        <v>194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1"/>
    </row>
    <row r="39" spans="1:17" ht="102" x14ac:dyDescent="0.2">
      <c r="A39" s="27" t="s">
        <v>195</v>
      </c>
      <c r="B39" s="24" t="s">
        <v>196</v>
      </c>
      <c r="C39" s="24" t="s">
        <v>91</v>
      </c>
      <c r="D39" s="33" t="s">
        <v>197</v>
      </c>
      <c r="E39" s="25" t="s">
        <v>198</v>
      </c>
      <c r="F39" s="25" t="s">
        <v>199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1"/>
    </row>
    <row r="40" spans="1:17" ht="102" x14ac:dyDescent="0.2">
      <c r="A40" s="27" t="s">
        <v>200</v>
      </c>
      <c r="B40" s="24" t="s">
        <v>201</v>
      </c>
      <c r="C40" s="24" t="s">
        <v>80</v>
      </c>
      <c r="D40" s="33" t="s">
        <v>202</v>
      </c>
      <c r="E40" s="25" t="s">
        <v>203</v>
      </c>
      <c r="F40" s="25" t="s">
        <v>204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1"/>
    </row>
    <row r="41" spans="1:17" ht="102" x14ac:dyDescent="0.2">
      <c r="A41" s="27" t="s">
        <v>205</v>
      </c>
      <c r="B41" s="24" t="s">
        <v>206</v>
      </c>
      <c r="C41" s="24" t="s">
        <v>80</v>
      </c>
      <c r="D41" s="33" t="s">
        <v>207</v>
      </c>
      <c r="E41" s="25" t="s">
        <v>208</v>
      </c>
      <c r="F41" s="25" t="s">
        <v>209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1"/>
    </row>
    <row r="42" spans="1:17" ht="127.5" x14ac:dyDescent="0.2">
      <c r="A42" s="27" t="s">
        <v>210</v>
      </c>
      <c r="B42" s="24" t="s">
        <v>211</v>
      </c>
      <c r="C42" s="24" t="s">
        <v>91</v>
      </c>
      <c r="D42" s="33" t="s">
        <v>212</v>
      </c>
      <c r="E42" s="25" t="s">
        <v>213</v>
      </c>
      <c r="F42" s="25" t="s">
        <v>214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</row>
    <row r="43" spans="1:17" ht="102" x14ac:dyDescent="0.2">
      <c r="A43" s="27" t="s">
        <v>215</v>
      </c>
      <c r="B43" s="24" t="s">
        <v>216</v>
      </c>
      <c r="C43" s="24" t="s">
        <v>80</v>
      </c>
      <c r="D43" s="33" t="s">
        <v>217</v>
      </c>
      <c r="E43" s="25" t="s">
        <v>218</v>
      </c>
      <c r="F43" s="25" t="s">
        <v>219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</row>
    <row r="44" spans="1:17" ht="114.75" x14ac:dyDescent="0.2">
      <c r="A44" s="27" t="s">
        <v>220</v>
      </c>
      <c r="B44" s="24" t="s">
        <v>221</v>
      </c>
      <c r="C44" s="24" t="s">
        <v>80</v>
      </c>
      <c r="D44" s="33" t="s">
        <v>222</v>
      </c>
      <c r="E44" s="25" t="s">
        <v>223</v>
      </c>
      <c r="F44" s="25" t="s">
        <v>224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</row>
    <row r="45" spans="1:17" ht="102" x14ac:dyDescent="0.2">
      <c r="A45" s="27" t="s">
        <v>225</v>
      </c>
      <c r="B45" s="24" t="s">
        <v>226</v>
      </c>
      <c r="C45" s="24" t="s">
        <v>91</v>
      </c>
      <c r="D45" s="33" t="s">
        <v>227</v>
      </c>
      <c r="E45" s="25" t="s">
        <v>228</v>
      </c>
      <c r="F45" s="25" t="s">
        <v>229</v>
      </c>
      <c r="G45" s="26"/>
      <c r="H45" s="26"/>
      <c r="I45" s="26"/>
      <c r="J45" s="26"/>
      <c r="K45" s="26"/>
      <c r="L45" s="26"/>
      <c r="M45" s="36"/>
      <c r="N45" s="26"/>
      <c r="O45" s="25"/>
      <c r="P45" s="25"/>
      <c r="Q45" s="1"/>
    </row>
    <row r="46" spans="1:17" ht="127.5" x14ac:dyDescent="0.2">
      <c r="A46" s="27" t="s">
        <v>230</v>
      </c>
      <c r="B46" s="24" t="s">
        <v>231</v>
      </c>
      <c r="C46" s="24" t="s">
        <v>80</v>
      </c>
      <c r="D46" s="33" t="s">
        <v>232</v>
      </c>
      <c r="E46" s="25" t="s">
        <v>233</v>
      </c>
      <c r="F46" s="25" t="s">
        <v>234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1"/>
    </row>
    <row r="47" spans="1:17" ht="102" x14ac:dyDescent="0.2">
      <c r="A47" s="27" t="s">
        <v>235</v>
      </c>
      <c r="B47" s="24" t="s">
        <v>236</v>
      </c>
      <c r="C47" s="24" t="s">
        <v>80</v>
      </c>
      <c r="D47" s="33" t="s">
        <v>237</v>
      </c>
      <c r="E47" s="25" t="s">
        <v>238</v>
      </c>
      <c r="F47" s="25" t="s">
        <v>239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1"/>
    </row>
    <row r="48" spans="1:17" ht="127.5" x14ac:dyDescent="0.2">
      <c r="A48" s="31" t="s">
        <v>240</v>
      </c>
      <c r="B48" s="32" t="s">
        <v>241</v>
      </c>
      <c r="C48" s="33" t="s">
        <v>74</v>
      </c>
      <c r="D48" s="24" t="s">
        <v>242</v>
      </c>
      <c r="E48" s="25" t="s">
        <v>243</v>
      </c>
      <c r="F48" s="25" t="s">
        <v>244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1"/>
    </row>
    <row r="49" spans="1:17" ht="102" x14ac:dyDescent="0.2">
      <c r="A49" s="27" t="s">
        <v>245</v>
      </c>
      <c r="B49" s="24" t="s">
        <v>246</v>
      </c>
      <c r="C49" s="24" t="s">
        <v>91</v>
      </c>
      <c r="D49" s="33" t="s">
        <v>247</v>
      </c>
      <c r="E49" s="33" t="s">
        <v>248</v>
      </c>
      <c r="F49" s="33" t="s">
        <v>249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1"/>
    </row>
    <row r="50" spans="1:17" ht="89.25" x14ac:dyDescent="0.2">
      <c r="A50" s="27" t="s">
        <v>250</v>
      </c>
      <c r="B50" s="24" t="s">
        <v>251</v>
      </c>
      <c r="C50" s="24" t="s">
        <v>91</v>
      </c>
      <c r="D50" s="33" t="s">
        <v>252</v>
      </c>
      <c r="E50" s="25" t="s">
        <v>253</v>
      </c>
      <c r="F50" s="33" t="s">
        <v>254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1"/>
    </row>
    <row r="51" spans="1:17" ht="102" x14ac:dyDescent="0.2">
      <c r="A51" s="27" t="s">
        <v>255</v>
      </c>
      <c r="B51" s="24" t="s">
        <v>256</v>
      </c>
      <c r="C51" s="24" t="s">
        <v>91</v>
      </c>
      <c r="D51" s="33" t="s">
        <v>257</v>
      </c>
      <c r="E51" s="25" t="s">
        <v>258</v>
      </c>
      <c r="F51" s="25" t="s">
        <v>259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1"/>
    </row>
    <row r="52" spans="1:17" ht="102" x14ac:dyDescent="0.2">
      <c r="A52" s="27" t="s">
        <v>260</v>
      </c>
      <c r="B52" s="24" t="s">
        <v>261</v>
      </c>
      <c r="C52" s="24" t="s">
        <v>80</v>
      </c>
      <c r="D52" s="33" t="s">
        <v>262</v>
      </c>
      <c r="E52" s="25" t="s">
        <v>263</v>
      </c>
      <c r="F52" s="33" t="s">
        <v>264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1"/>
    </row>
    <row r="53" spans="1:17" ht="114.75" x14ac:dyDescent="0.2">
      <c r="A53" s="27" t="s">
        <v>265</v>
      </c>
      <c r="B53" s="24" t="s">
        <v>266</v>
      </c>
      <c r="C53" s="24" t="s">
        <v>91</v>
      </c>
      <c r="D53" s="33" t="s">
        <v>267</v>
      </c>
      <c r="E53" s="25" t="s">
        <v>268</v>
      </c>
      <c r="F53" s="25" t="s">
        <v>269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1"/>
    </row>
    <row r="54" spans="1:17" ht="102" x14ac:dyDescent="0.2">
      <c r="A54" s="27" t="s">
        <v>270</v>
      </c>
      <c r="B54" s="24" t="s">
        <v>271</v>
      </c>
      <c r="C54" s="24" t="s">
        <v>80</v>
      </c>
      <c r="D54" s="33" t="s">
        <v>272</v>
      </c>
      <c r="E54" s="25" t="s">
        <v>273</v>
      </c>
      <c r="F54" s="25" t="s">
        <v>274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1"/>
    </row>
    <row r="55" spans="1:17" ht="102" x14ac:dyDescent="0.2">
      <c r="A55" s="27" t="s">
        <v>275</v>
      </c>
      <c r="B55" s="24" t="s">
        <v>276</v>
      </c>
      <c r="C55" s="24" t="s">
        <v>74</v>
      </c>
      <c r="D55" s="33" t="s">
        <v>277</v>
      </c>
      <c r="E55" s="25" t="s">
        <v>278</v>
      </c>
      <c r="F55" s="25" t="s">
        <v>279</v>
      </c>
      <c r="G55" s="26"/>
      <c r="H55" s="26"/>
      <c r="I55" s="26"/>
      <c r="J55" s="26"/>
      <c r="K55" s="26"/>
      <c r="L55" s="26"/>
      <c r="M55" s="25"/>
      <c r="N55" s="26"/>
      <c r="O55" s="25"/>
      <c r="P55" s="25"/>
      <c r="Q55" s="1"/>
    </row>
    <row r="56" spans="1:17" ht="102" x14ac:dyDescent="0.2">
      <c r="A56" s="31" t="s">
        <v>280</v>
      </c>
      <c r="B56" s="32" t="s">
        <v>281</v>
      </c>
      <c r="C56" s="33" t="s">
        <v>91</v>
      </c>
      <c r="D56" s="24" t="s">
        <v>282</v>
      </c>
      <c r="E56" s="25" t="s">
        <v>283</v>
      </c>
      <c r="F56" s="25" t="s">
        <v>284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1"/>
    </row>
    <row r="57" spans="1:17" ht="114.75" x14ac:dyDescent="0.2">
      <c r="A57" s="27" t="s">
        <v>285</v>
      </c>
      <c r="B57" s="24" t="s">
        <v>286</v>
      </c>
      <c r="C57" s="24" t="s">
        <v>80</v>
      </c>
      <c r="D57" s="33" t="s">
        <v>287</v>
      </c>
      <c r="E57" s="25" t="s">
        <v>288</v>
      </c>
      <c r="F57" s="25" t="s">
        <v>289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1"/>
    </row>
    <row r="58" spans="1:17" ht="140.25" x14ac:dyDescent="0.2">
      <c r="A58" s="27" t="s">
        <v>290</v>
      </c>
      <c r="B58" s="24" t="s">
        <v>291</v>
      </c>
      <c r="C58" s="24" t="s">
        <v>74</v>
      </c>
      <c r="D58" s="33" t="s">
        <v>292</v>
      </c>
      <c r="E58" s="25" t="s">
        <v>293</v>
      </c>
      <c r="F58" s="25" t="s">
        <v>294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1"/>
    </row>
    <row r="59" spans="1:17" ht="114.75" x14ac:dyDescent="0.2">
      <c r="A59" s="27" t="s">
        <v>295</v>
      </c>
      <c r="B59" s="24" t="s">
        <v>296</v>
      </c>
      <c r="C59" s="24" t="s">
        <v>74</v>
      </c>
      <c r="D59" s="33" t="s">
        <v>297</v>
      </c>
      <c r="E59" s="25" t="s">
        <v>298</v>
      </c>
      <c r="F59" s="25" t="s">
        <v>299</v>
      </c>
      <c r="G59" s="26"/>
      <c r="H59" s="26"/>
      <c r="I59" s="26"/>
      <c r="J59" s="26"/>
      <c r="K59" s="26"/>
      <c r="L59" s="28"/>
      <c r="M59" s="25"/>
      <c r="N59" s="26"/>
      <c r="O59" s="25"/>
      <c r="P59" s="25"/>
      <c r="Q59" s="1"/>
    </row>
    <row r="60" spans="1:17" ht="140.25" x14ac:dyDescent="0.2">
      <c r="A60" s="27" t="s">
        <v>300</v>
      </c>
      <c r="B60" s="24" t="s">
        <v>301</v>
      </c>
      <c r="C60" s="24" t="s">
        <v>74</v>
      </c>
      <c r="D60" s="33" t="s">
        <v>302</v>
      </c>
      <c r="E60" s="25" t="s">
        <v>303</v>
      </c>
      <c r="F60" s="25" t="s">
        <v>304</v>
      </c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1"/>
    </row>
    <row r="61" spans="1:17" ht="114.75" x14ac:dyDescent="0.2">
      <c r="A61" s="27" t="s">
        <v>305</v>
      </c>
      <c r="B61" s="24" t="s">
        <v>306</v>
      </c>
      <c r="C61" s="24" t="s">
        <v>91</v>
      </c>
      <c r="D61" s="33" t="s">
        <v>307</v>
      </c>
      <c r="E61" s="25" t="s">
        <v>308</v>
      </c>
      <c r="F61" s="25" t="s">
        <v>309</v>
      </c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1"/>
    </row>
    <row r="62" spans="1:17" ht="102" x14ac:dyDescent="0.2">
      <c r="A62" s="27" t="s">
        <v>310</v>
      </c>
      <c r="B62" s="24" t="s">
        <v>311</v>
      </c>
      <c r="C62" s="24" t="s">
        <v>91</v>
      </c>
      <c r="D62" s="33" t="s">
        <v>312</v>
      </c>
      <c r="E62" s="25" t="s">
        <v>313</v>
      </c>
      <c r="F62" s="25" t="s">
        <v>314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1"/>
    </row>
    <row r="63" spans="1:17" ht="140.25" x14ac:dyDescent="0.2">
      <c r="A63" s="27" t="s">
        <v>315</v>
      </c>
      <c r="B63" s="24" t="s">
        <v>316</v>
      </c>
      <c r="C63" s="24" t="s">
        <v>91</v>
      </c>
      <c r="D63" s="33" t="s">
        <v>317</v>
      </c>
      <c r="E63" s="25" t="s">
        <v>318</v>
      </c>
      <c r="F63" s="25" t="s">
        <v>319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1"/>
    </row>
    <row r="64" spans="1:17" ht="102" x14ac:dyDescent="0.2">
      <c r="A64" s="27" t="s">
        <v>320</v>
      </c>
      <c r="B64" s="24" t="s">
        <v>321</v>
      </c>
      <c r="C64" s="24" t="s">
        <v>80</v>
      </c>
      <c r="D64" s="33" t="s">
        <v>322</v>
      </c>
      <c r="E64" s="25" t="s">
        <v>323</v>
      </c>
      <c r="F64" s="25" t="s">
        <v>324</v>
      </c>
      <c r="G64" s="26"/>
      <c r="H64" s="26"/>
      <c r="I64" s="26"/>
      <c r="J64" s="26"/>
      <c r="K64" s="26"/>
      <c r="L64" s="26"/>
      <c r="M64" s="25"/>
      <c r="N64" s="26"/>
      <c r="O64" s="25"/>
      <c r="P64" s="25"/>
      <c r="Q64" s="1"/>
    </row>
    <row r="65" spans="1:17" ht="127.5" x14ac:dyDescent="0.2">
      <c r="A65" s="27" t="s">
        <v>325</v>
      </c>
      <c r="B65" s="24" t="s">
        <v>326</v>
      </c>
      <c r="C65" s="24" t="s">
        <v>80</v>
      </c>
      <c r="D65" s="33" t="s">
        <v>327</v>
      </c>
      <c r="E65" s="25" t="s">
        <v>328</v>
      </c>
      <c r="F65" s="25" t="s">
        <v>329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1"/>
    </row>
    <row r="66" spans="1:17" ht="102" x14ac:dyDescent="0.2">
      <c r="A66" s="31" t="s">
        <v>330</v>
      </c>
      <c r="B66" s="32" t="s">
        <v>331</v>
      </c>
      <c r="C66" s="33" t="s">
        <v>80</v>
      </c>
      <c r="D66" s="24" t="s">
        <v>332</v>
      </c>
      <c r="E66" s="25" t="s">
        <v>333</v>
      </c>
      <c r="F66" s="25" t="s">
        <v>334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1"/>
    </row>
    <row r="67" spans="1:17" ht="140.25" x14ac:dyDescent="0.2">
      <c r="A67" s="27" t="s">
        <v>335</v>
      </c>
      <c r="B67" s="24" t="s">
        <v>336</v>
      </c>
      <c r="C67" s="24" t="s">
        <v>80</v>
      </c>
      <c r="D67" s="33" t="s">
        <v>337</v>
      </c>
      <c r="E67" s="25" t="s">
        <v>338</v>
      </c>
      <c r="F67" s="25" t="s">
        <v>339</v>
      </c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1"/>
    </row>
    <row r="68" spans="1:17" ht="140.25" x14ac:dyDescent="0.2">
      <c r="A68" s="27" t="s">
        <v>340</v>
      </c>
      <c r="B68" s="24" t="s">
        <v>341</v>
      </c>
      <c r="C68" s="24" t="s">
        <v>80</v>
      </c>
      <c r="D68" s="33" t="s">
        <v>342</v>
      </c>
      <c r="E68" s="25" t="s">
        <v>343</v>
      </c>
      <c r="F68" s="25" t="s">
        <v>344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1"/>
    </row>
    <row r="69" spans="1:17" ht="140.25" x14ac:dyDescent="0.2">
      <c r="A69" s="27" t="s">
        <v>345</v>
      </c>
      <c r="B69" s="24" t="s">
        <v>346</v>
      </c>
      <c r="C69" s="24" t="s">
        <v>347</v>
      </c>
      <c r="D69" s="33" t="s">
        <v>348</v>
      </c>
      <c r="E69" s="25" t="s">
        <v>349</v>
      </c>
      <c r="F69" s="25" t="s">
        <v>350</v>
      </c>
      <c r="G69" s="26"/>
      <c r="H69" s="26"/>
      <c r="I69" s="26"/>
      <c r="J69" s="26"/>
      <c r="K69" s="26"/>
      <c r="L69" s="26"/>
      <c r="M69" s="25"/>
      <c r="N69" s="26"/>
      <c r="O69" s="25"/>
      <c r="P69" s="26"/>
      <c r="Q69" s="1"/>
    </row>
    <row r="70" spans="1:17" ht="102" x14ac:dyDescent="0.2">
      <c r="A70" s="27" t="s">
        <v>351</v>
      </c>
      <c r="B70" s="24" t="s">
        <v>352</v>
      </c>
      <c r="C70" s="24" t="s">
        <v>347</v>
      </c>
      <c r="D70" s="33" t="s">
        <v>353</v>
      </c>
      <c r="E70" s="25" t="s">
        <v>354</v>
      </c>
      <c r="F70" s="25" t="s">
        <v>355</v>
      </c>
      <c r="G70" s="26"/>
      <c r="H70" s="26"/>
      <c r="I70" s="26"/>
      <c r="J70" s="26"/>
      <c r="K70" s="26"/>
      <c r="L70" s="26"/>
      <c r="M70" s="25"/>
      <c r="N70" s="26"/>
      <c r="O70" s="25"/>
      <c r="P70" s="25"/>
      <c r="Q70" s="1"/>
    </row>
    <row r="71" spans="1:17" ht="127.5" x14ac:dyDescent="0.2">
      <c r="A71" s="27" t="s">
        <v>356</v>
      </c>
      <c r="B71" s="24" t="s">
        <v>357</v>
      </c>
      <c r="C71" s="24" t="s">
        <v>347</v>
      </c>
      <c r="D71" s="33" t="s">
        <v>358</v>
      </c>
      <c r="E71" s="25" t="s">
        <v>359</v>
      </c>
      <c r="F71" s="25" t="s">
        <v>360</v>
      </c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1"/>
    </row>
    <row r="72" spans="1:17" ht="127.5" x14ac:dyDescent="0.2">
      <c r="A72" s="27" t="s">
        <v>361</v>
      </c>
      <c r="B72" s="24" t="s">
        <v>362</v>
      </c>
      <c r="C72" s="24" t="s">
        <v>347</v>
      </c>
      <c r="D72" s="33" t="s">
        <v>363</v>
      </c>
      <c r="E72" s="25" t="s">
        <v>364</v>
      </c>
      <c r="F72" s="25" t="s">
        <v>365</v>
      </c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1"/>
    </row>
    <row r="73" spans="1:17" ht="102" x14ac:dyDescent="0.2">
      <c r="A73" s="27" t="s">
        <v>366</v>
      </c>
      <c r="B73" s="24" t="s">
        <v>367</v>
      </c>
      <c r="C73" s="24" t="s">
        <v>368</v>
      </c>
      <c r="D73" s="33" t="s">
        <v>369</v>
      </c>
      <c r="E73" s="25" t="s">
        <v>370</v>
      </c>
      <c r="F73" s="25" t="s">
        <v>371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1"/>
    </row>
    <row r="74" spans="1:17" ht="127.5" x14ac:dyDescent="0.2">
      <c r="A74" s="27" t="s">
        <v>372</v>
      </c>
      <c r="B74" s="24" t="s">
        <v>373</v>
      </c>
      <c r="C74" s="24" t="s">
        <v>347</v>
      </c>
      <c r="D74" s="33" t="s">
        <v>374</v>
      </c>
      <c r="E74" s="25" t="s">
        <v>375</v>
      </c>
      <c r="F74" s="25" t="s">
        <v>376</v>
      </c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1"/>
    </row>
    <row r="75" spans="1:17" ht="114.75" x14ac:dyDescent="0.2">
      <c r="A75" s="27" t="s">
        <v>377</v>
      </c>
      <c r="B75" s="24" t="s">
        <v>378</v>
      </c>
      <c r="C75" s="24" t="s">
        <v>347</v>
      </c>
      <c r="D75" s="33" t="s">
        <v>379</v>
      </c>
      <c r="E75" s="25" t="s">
        <v>380</v>
      </c>
      <c r="F75" s="25" t="s">
        <v>381</v>
      </c>
      <c r="G75" s="26"/>
      <c r="H75" s="26"/>
      <c r="I75" s="26"/>
      <c r="J75" s="26"/>
      <c r="K75" s="26"/>
      <c r="L75" s="26"/>
      <c r="M75" s="25"/>
      <c r="N75" s="26"/>
      <c r="O75" s="25"/>
      <c r="P75" s="25"/>
      <c r="Q75" s="1"/>
    </row>
    <row r="76" spans="1:17" ht="127.5" x14ac:dyDescent="0.2">
      <c r="A76" s="31" t="s">
        <v>382</v>
      </c>
      <c r="B76" s="32" t="s">
        <v>383</v>
      </c>
      <c r="C76" s="33" t="s">
        <v>347</v>
      </c>
      <c r="D76" s="24" t="s">
        <v>384</v>
      </c>
      <c r="E76" s="25" t="s">
        <v>385</v>
      </c>
      <c r="F76" s="25" t="s">
        <v>386</v>
      </c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1"/>
    </row>
    <row r="77" spans="1:17" ht="127.5" x14ac:dyDescent="0.2">
      <c r="A77" s="27" t="s">
        <v>387</v>
      </c>
      <c r="B77" s="24" t="s">
        <v>388</v>
      </c>
      <c r="C77" s="24" t="s">
        <v>347</v>
      </c>
      <c r="D77" s="33" t="s">
        <v>389</v>
      </c>
      <c r="E77" s="25" t="s">
        <v>390</v>
      </c>
      <c r="F77" s="25" t="s">
        <v>391</v>
      </c>
      <c r="G77" s="28"/>
      <c r="H77" s="26"/>
      <c r="I77" s="26"/>
      <c r="J77" s="26"/>
      <c r="K77" s="26"/>
      <c r="L77" s="26"/>
      <c r="M77" s="26"/>
      <c r="N77" s="26"/>
      <c r="O77" s="26"/>
      <c r="P77" s="26"/>
      <c r="Q77" s="1"/>
    </row>
    <row r="78" spans="1:17" ht="127.5" x14ac:dyDescent="0.2">
      <c r="A78" s="27" t="s">
        <v>392</v>
      </c>
      <c r="B78" s="24" t="s">
        <v>393</v>
      </c>
      <c r="C78" s="24" t="s">
        <v>347</v>
      </c>
      <c r="D78" s="33" t="s">
        <v>394</v>
      </c>
      <c r="E78" s="25" t="s">
        <v>395</v>
      </c>
      <c r="F78" s="25" t="s">
        <v>396</v>
      </c>
      <c r="G78" s="28"/>
      <c r="H78" s="26"/>
      <c r="I78" s="26"/>
      <c r="J78" s="26"/>
      <c r="K78" s="26"/>
      <c r="L78" s="26"/>
      <c r="M78" s="26"/>
      <c r="N78" s="26"/>
      <c r="O78" s="26"/>
      <c r="P78" s="26"/>
      <c r="Q78" s="1"/>
    </row>
    <row r="79" spans="1:17" ht="127.5" x14ac:dyDescent="0.2">
      <c r="A79" s="27" t="s">
        <v>397</v>
      </c>
      <c r="B79" s="24" t="s">
        <v>398</v>
      </c>
      <c r="C79" s="24" t="s">
        <v>347</v>
      </c>
      <c r="D79" s="33" t="s">
        <v>399</v>
      </c>
      <c r="E79" s="25" t="s">
        <v>400</v>
      </c>
      <c r="F79" s="25" t="s">
        <v>401</v>
      </c>
      <c r="G79" s="28"/>
      <c r="H79" s="26"/>
      <c r="I79" s="26"/>
      <c r="J79" s="26"/>
      <c r="K79" s="26"/>
      <c r="L79" s="26"/>
      <c r="M79" s="26"/>
      <c r="N79" s="26"/>
      <c r="O79" s="26"/>
      <c r="P79" s="26"/>
      <c r="Q79" s="1"/>
    </row>
    <row r="80" spans="1:17" ht="102" x14ac:dyDescent="0.2">
      <c r="A80" s="27" t="s">
        <v>402</v>
      </c>
      <c r="B80" s="24" t="s">
        <v>403</v>
      </c>
      <c r="C80" s="24" t="s">
        <v>347</v>
      </c>
      <c r="D80" s="33" t="s">
        <v>404</v>
      </c>
      <c r="E80" s="25" t="s">
        <v>405</v>
      </c>
      <c r="F80" s="25" t="s">
        <v>406</v>
      </c>
      <c r="G80" s="28"/>
      <c r="H80" s="26"/>
      <c r="I80" s="26"/>
      <c r="J80" s="26"/>
      <c r="K80" s="26"/>
      <c r="L80" s="26"/>
      <c r="M80" s="26"/>
      <c r="N80" s="26"/>
      <c r="O80" s="26"/>
      <c r="P80" s="26"/>
      <c r="Q80" s="1"/>
    </row>
    <row r="81" spans="1:17" ht="140.25" x14ac:dyDescent="0.2">
      <c r="A81" s="27" t="s">
        <v>407</v>
      </c>
      <c r="B81" s="24" t="s">
        <v>408</v>
      </c>
      <c r="C81" s="24" t="s">
        <v>409</v>
      </c>
      <c r="D81" s="33" t="s">
        <v>410</v>
      </c>
      <c r="E81" s="25" t="s">
        <v>411</v>
      </c>
      <c r="F81" s="25" t="s">
        <v>412</v>
      </c>
      <c r="G81" s="28"/>
      <c r="H81" s="26"/>
      <c r="I81" s="26"/>
      <c r="J81" s="26"/>
      <c r="K81" s="26"/>
      <c r="L81" s="26"/>
      <c r="M81" s="26"/>
      <c r="N81" s="26"/>
      <c r="O81" s="26"/>
      <c r="P81" s="26"/>
      <c r="Q81" s="1"/>
    </row>
    <row r="82" spans="1:17" ht="102" x14ac:dyDescent="0.2">
      <c r="A82" s="27" t="s">
        <v>413</v>
      </c>
      <c r="B82" s="24" t="s">
        <v>414</v>
      </c>
      <c r="C82" s="24" t="s">
        <v>415</v>
      </c>
      <c r="D82" s="33" t="s">
        <v>416</v>
      </c>
      <c r="E82" s="25" t="s">
        <v>417</v>
      </c>
      <c r="F82" s="25" t="s">
        <v>418</v>
      </c>
      <c r="G82" s="28"/>
      <c r="H82" s="26"/>
      <c r="I82" s="26"/>
      <c r="J82" s="26"/>
      <c r="K82" s="26"/>
      <c r="L82" s="26"/>
      <c r="M82" s="26"/>
      <c r="N82" s="26"/>
      <c r="O82" s="26"/>
      <c r="P82" s="26"/>
      <c r="Q82" s="1"/>
    </row>
    <row r="83" spans="1:17" ht="127.5" x14ac:dyDescent="0.2">
      <c r="A83" s="27" t="s">
        <v>419</v>
      </c>
      <c r="B83" s="24" t="s">
        <v>420</v>
      </c>
      <c r="C83" s="24" t="s">
        <v>415</v>
      </c>
      <c r="D83" s="33" t="s">
        <v>421</v>
      </c>
      <c r="E83" s="25" t="s">
        <v>422</v>
      </c>
      <c r="F83" s="25" t="s">
        <v>423</v>
      </c>
      <c r="G83" s="28"/>
      <c r="H83" s="26"/>
      <c r="I83" s="26"/>
      <c r="J83" s="26"/>
      <c r="K83" s="26"/>
      <c r="L83" s="26"/>
      <c r="M83" s="25"/>
      <c r="N83" s="26"/>
      <c r="O83" s="25"/>
      <c r="P83" s="25"/>
      <c r="Q83" s="1"/>
    </row>
    <row r="84" spans="1:17" ht="114.75" x14ac:dyDescent="0.2">
      <c r="A84" s="27" t="s">
        <v>424</v>
      </c>
      <c r="B84" s="24" t="s">
        <v>425</v>
      </c>
      <c r="C84" s="24" t="s">
        <v>415</v>
      </c>
      <c r="D84" s="33" t="s">
        <v>426</v>
      </c>
      <c r="E84" s="25" t="s">
        <v>427</v>
      </c>
      <c r="F84" s="25" t="s">
        <v>428</v>
      </c>
      <c r="G84" s="28"/>
      <c r="H84" s="26"/>
      <c r="I84" s="26"/>
      <c r="J84" s="26"/>
      <c r="K84" s="26"/>
      <c r="L84" s="26"/>
      <c r="M84" s="25"/>
      <c r="N84" s="26"/>
      <c r="O84" s="25"/>
      <c r="P84" s="25"/>
      <c r="Q84" s="1"/>
    </row>
    <row r="85" spans="1:17" ht="140.25" x14ac:dyDescent="0.2">
      <c r="A85" s="27" t="s">
        <v>429</v>
      </c>
      <c r="B85" s="24" t="s">
        <v>430</v>
      </c>
      <c r="C85" s="24" t="s">
        <v>409</v>
      </c>
      <c r="D85" s="33" t="s">
        <v>431</v>
      </c>
      <c r="E85" s="25" t="s">
        <v>432</v>
      </c>
      <c r="F85" s="25" t="s">
        <v>433</v>
      </c>
      <c r="G85" s="28"/>
      <c r="H85" s="26"/>
      <c r="I85" s="26"/>
      <c r="J85" s="26"/>
      <c r="K85" s="26"/>
      <c r="L85" s="26"/>
      <c r="M85" s="25"/>
      <c r="N85" s="26"/>
      <c r="O85" s="25"/>
      <c r="P85" s="25"/>
      <c r="Q85" s="1"/>
    </row>
    <row r="86" spans="1:17" ht="114.75" x14ac:dyDescent="0.2">
      <c r="A86" s="31" t="s">
        <v>434</v>
      </c>
      <c r="B86" s="32" t="s">
        <v>435</v>
      </c>
      <c r="C86" s="33" t="s">
        <v>415</v>
      </c>
      <c r="D86" s="24" t="s">
        <v>436</v>
      </c>
      <c r="E86" s="25" t="s">
        <v>437</v>
      </c>
      <c r="F86" s="25" t="s">
        <v>438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1"/>
    </row>
    <row r="87" spans="1:17" ht="141.75" x14ac:dyDescent="0.25">
      <c r="A87" s="12" t="s">
        <v>439</v>
      </c>
      <c r="B87" s="11" t="s">
        <v>440</v>
      </c>
      <c r="C87" s="11" t="s">
        <v>415</v>
      </c>
      <c r="D87" s="10" t="s">
        <v>441</v>
      </c>
      <c r="E87" s="10" t="s">
        <v>442</v>
      </c>
      <c r="F87" s="10" t="s">
        <v>443</v>
      </c>
      <c r="G87" s="7"/>
      <c r="H87" s="5"/>
      <c r="I87" s="13"/>
      <c r="J87" s="7"/>
      <c r="K87" s="7"/>
      <c r="L87" s="5"/>
      <c r="M87" s="7"/>
      <c r="N87" s="7"/>
      <c r="O87" s="13"/>
      <c r="P87" s="13"/>
      <c r="Q87" s="1"/>
    </row>
    <row r="88" spans="1:17" x14ac:dyDescent="0.25">
      <c r="A88" s="12"/>
      <c r="B88" s="11"/>
      <c r="C88" s="11"/>
      <c r="D88" s="10"/>
      <c r="E88" s="13"/>
      <c r="F88" s="10"/>
      <c r="G88" s="7"/>
      <c r="H88" s="5"/>
      <c r="I88" s="7"/>
      <c r="J88" s="7"/>
      <c r="K88" s="7"/>
      <c r="L88" s="5"/>
      <c r="M88" s="7"/>
      <c r="N88" s="7"/>
      <c r="O88" s="7"/>
      <c r="P88" s="7"/>
      <c r="Q88" s="1"/>
    </row>
    <row r="89" spans="1:17" x14ac:dyDescent="0.25">
      <c r="A89" s="12"/>
      <c r="B89" s="11"/>
      <c r="C89" s="11"/>
      <c r="D89" s="10"/>
      <c r="E89" s="13"/>
      <c r="F89" s="15"/>
      <c r="G89" s="7"/>
      <c r="H89" s="5"/>
      <c r="I89" s="7"/>
      <c r="J89" s="7"/>
      <c r="K89" s="7"/>
      <c r="L89" s="5"/>
      <c r="M89" s="13"/>
      <c r="N89" s="7"/>
      <c r="O89" s="13"/>
      <c r="P89" s="13"/>
      <c r="Q89" s="1"/>
    </row>
    <row r="90" spans="1:17" x14ac:dyDescent="0.25">
      <c r="A90" s="12"/>
      <c r="B90" s="11"/>
      <c r="C90" s="11"/>
      <c r="D90" s="10"/>
      <c r="E90" s="13"/>
      <c r="F90" s="10"/>
      <c r="G90" s="7"/>
      <c r="H90" s="5"/>
      <c r="I90" s="7"/>
      <c r="J90" s="7"/>
      <c r="K90" s="7"/>
      <c r="L90" s="5"/>
      <c r="M90" s="7"/>
      <c r="N90" s="7"/>
      <c r="O90" s="7"/>
      <c r="P90" s="7"/>
      <c r="Q90" s="1"/>
    </row>
    <row r="91" spans="1:17" x14ac:dyDescent="0.25">
      <c r="A91" s="12"/>
      <c r="B91" s="11"/>
      <c r="C91" s="11"/>
      <c r="D91" s="10"/>
      <c r="E91" s="13"/>
      <c r="F91" s="15"/>
      <c r="G91" s="7"/>
      <c r="H91" s="5"/>
      <c r="I91" s="7"/>
      <c r="J91" s="7"/>
      <c r="K91" s="7"/>
      <c r="L91" s="5"/>
      <c r="M91" s="13"/>
      <c r="N91" s="7"/>
      <c r="O91" s="13"/>
      <c r="P91" s="13"/>
      <c r="Q91" s="1"/>
    </row>
    <row r="92" spans="1:17" x14ac:dyDescent="0.25">
      <c r="A92" s="12"/>
      <c r="B92" s="11"/>
      <c r="C92" s="11"/>
      <c r="D92" s="10"/>
      <c r="E92" s="13"/>
      <c r="F92" s="15"/>
      <c r="G92" s="7"/>
      <c r="H92" s="5"/>
      <c r="I92" s="7"/>
      <c r="J92" s="7"/>
      <c r="K92" s="7"/>
      <c r="L92" s="5"/>
      <c r="M92" s="7"/>
      <c r="N92" s="7"/>
      <c r="O92" s="7"/>
      <c r="P92" s="7"/>
      <c r="Q92" s="1"/>
    </row>
    <row r="93" spans="1:17" x14ac:dyDescent="0.25">
      <c r="A93" s="8"/>
      <c r="B93" s="9"/>
      <c r="C93" s="10"/>
      <c r="D93" s="11"/>
      <c r="E93" s="13"/>
      <c r="F93" s="21"/>
      <c r="G93" s="7"/>
      <c r="H93" s="7"/>
      <c r="I93" s="7"/>
      <c r="J93" s="7"/>
      <c r="K93" s="7"/>
      <c r="L93" s="7"/>
      <c r="M93" s="7"/>
      <c r="N93" s="7"/>
      <c r="O93" s="7"/>
      <c r="P93" s="7"/>
      <c r="Q93" s="1"/>
    </row>
    <row r="94" spans="1:17" x14ac:dyDescent="0.25">
      <c r="A94" s="12"/>
      <c r="B94" s="11"/>
      <c r="C94" s="11"/>
      <c r="D94" s="10"/>
      <c r="E94" s="13"/>
      <c r="F94" s="15"/>
      <c r="G94" s="7"/>
      <c r="H94" s="5"/>
      <c r="I94" s="7"/>
      <c r="J94" s="7"/>
      <c r="K94" s="7"/>
      <c r="L94" s="5"/>
      <c r="M94" s="13"/>
      <c r="N94" s="7"/>
      <c r="O94" s="13"/>
      <c r="P94" s="13"/>
      <c r="Q94" s="1"/>
    </row>
    <row r="95" spans="1:17" x14ac:dyDescent="0.25">
      <c r="A95" s="12"/>
      <c r="B95" s="11"/>
      <c r="C95" s="11"/>
      <c r="D95" s="10"/>
      <c r="E95" s="13"/>
      <c r="F95" s="15"/>
      <c r="G95" s="7"/>
      <c r="H95" s="5"/>
      <c r="I95" s="7"/>
      <c r="J95" s="7"/>
      <c r="K95" s="7"/>
      <c r="L95" s="5"/>
      <c r="M95" s="7"/>
      <c r="N95" s="7"/>
      <c r="O95" s="7"/>
      <c r="P95" s="7"/>
      <c r="Q95" s="1"/>
    </row>
    <row r="96" spans="1:17" x14ac:dyDescent="0.25">
      <c r="A96" s="12"/>
      <c r="B96" s="11"/>
      <c r="C96" s="11"/>
      <c r="D96" s="10"/>
      <c r="E96" s="13"/>
      <c r="F96" s="15"/>
      <c r="G96" s="7"/>
      <c r="H96" s="5"/>
      <c r="I96" s="7"/>
      <c r="J96" s="7"/>
      <c r="K96" s="7"/>
      <c r="L96" s="5"/>
      <c r="M96" s="7"/>
      <c r="N96" s="7"/>
      <c r="O96" s="13"/>
      <c r="P96" s="13"/>
      <c r="Q96" s="1"/>
    </row>
    <row r="97" spans="1:17" x14ac:dyDescent="0.25">
      <c r="A97" s="12"/>
      <c r="B97" s="11"/>
      <c r="C97" s="11"/>
      <c r="D97" s="10"/>
      <c r="E97" s="13"/>
      <c r="F97" s="15"/>
      <c r="G97" s="7"/>
      <c r="H97" s="5"/>
      <c r="I97" s="7"/>
      <c r="J97" s="7"/>
      <c r="K97" s="7"/>
      <c r="L97" s="5"/>
      <c r="M97" s="17"/>
      <c r="N97" s="7"/>
      <c r="O97" s="13"/>
      <c r="P97" s="13"/>
      <c r="Q97" s="1"/>
    </row>
    <row r="98" spans="1:17" x14ac:dyDescent="0.25">
      <c r="A98" s="12"/>
      <c r="B98" s="11"/>
      <c r="C98" s="11"/>
      <c r="D98" s="10"/>
      <c r="E98" s="13"/>
      <c r="F98" s="15"/>
      <c r="G98" s="7"/>
      <c r="H98" s="5"/>
      <c r="I98" s="7"/>
      <c r="J98" s="7"/>
      <c r="K98" s="7"/>
      <c r="L98" s="5"/>
      <c r="M98" s="7"/>
      <c r="N98" s="7"/>
      <c r="O98" s="7"/>
      <c r="P98" s="7"/>
      <c r="Q98" s="1"/>
    </row>
    <row r="99" spans="1:17" x14ac:dyDescent="0.25">
      <c r="A99" s="12"/>
      <c r="B99" s="11"/>
      <c r="C99" s="11"/>
      <c r="D99" s="10"/>
      <c r="E99" s="13"/>
      <c r="F99" s="15"/>
      <c r="G99" s="7"/>
      <c r="H99" s="5"/>
      <c r="I99" s="7"/>
      <c r="J99" s="7"/>
      <c r="K99" s="7"/>
      <c r="L99" s="5"/>
      <c r="M99" s="7"/>
      <c r="N99" s="7"/>
      <c r="O99" s="7"/>
      <c r="P99" s="7"/>
      <c r="Q99" s="1"/>
    </row>
    <row r="100" spans="1:17" x14ac:dyDescent="0.25">
      <c r="A100" s="12"/>
      <c r="B100" s="11"/>
      <c r="C100" s="11"/>
      <c r="D100" s="10"/>
      <c r="E100" s="13"/>
      <c r="F100" s="15"/>
      <c r="G100" s="7"/>
      <c r="H100" s="5"/>
      <c r="I100" s="7"/>
      <c r="J100" s="7"/>
      <c r="K100" s="7"/>
      <c r="L100" s="5"/>
      <c r="M100" s="7"/>
      <c r="N100" s="7"/>
      <c r="O100" s="7"/>
      <c r="P100" s="7"/>
      <c r="Q100" s="1"/>
    </row>
    <row r="101" spans="1:17" x14ac:dyDescent="0.25">
      <c r="A101" s="12"/>
      <c r="B101" s="11"/>
      <c r="C101" s="11"/>
      <c r="D101" s="10"/>
      <c r="E101" s="13"/>
      <c r="F101" s="15"/>
      <c r="G101" s="7"/>
      <c r="H101" s="5"/>
      <c r="I101" s="7"/>
      <c r="J101" s="7"/>
      <c r="K101" s="7"/>
      <c r="L101" s="5"/>
      <c r="M101" s="7"/>
      <c r="N101" s="7"/>
      <c r="O101" s="7"/>
      <c r="P101" s="7"/>
      <c r="Q101" s="1"/>
    </row>
    <row r="102" spans="1:17" x14ac:dyDescent="0.25">
      <c r="A102" s="12"/>
      <c r="B102" s="11"/>
      <c r="C102" s="11"/>
      <c r="D102" s="10"/>
      <c r="E102" s="13"/>
      <c r="F102" s="15"/>
      <c r="G102" s="7"/>
      <c r="H102" s="5"/>
      <c r="I102" s="7"/>
      <c r="J102" s="7"/>
      <c r="K102" s="7"/>
      <c r="L102" s="5"/>
      <c r="M102" s="7"/>
      <c r="N102" s="7"/>
      <c r="O102" s="7"/>
      <c r="P102" s="7"/>
      <c r="Q102" s="1"/>
    </row>
    <row r="103" spans="1:17" x14ac:dyDescent="0.25">
      <c r="A103" s="12"/>
      <c r="B103" s="11"/>
      <c r="C103" s="11"/>
      <c r="D103" s="10"/>
      <c r="E103" s="13"/>
      <c r="F103" s="15"/>
      <c r="G103" s="7"/>
      <c r="H103" s="5"/>
      <c r="I103" s="7"/>
      <c r="J103" s="7"/>
      <c r="K103" s="7"/>
      <c r="L103" s="5"/>
      <c r="M103" s="14"/>
      <c r="N103" s="7"/>
      <c r="O103" s="13"/>
      <c r="P103" s="13"/>
      <c r="Q103" s="1"/>
    </row>
    <row r="104" spans="1:17" x14ac:dyDescent="0.25">
      <c r="A104" s="8"/>
      <c r="B104" s="9"/>
      <c r="C104" s="10"/>
      <c r="D104" s="11"/>
      <c r="E104" s="13"/>
      <c r="F104" s="21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"/>
    </row>
    <row r="105" spans="1:17" x14ac:dyDescent="0.25">
      <c r="A105" s="12"/>
      <c r="B105" s="11"/>
      <c r="C105" s="11"/>
      <c r="D105" s="10"/>
      <c r="E105" s="10"/>
      <c r="F105" s="10"/>
      <c r="G105" s="7"/>
      <c r="H105" s="5"/>
      <c r="I105" s="7"/>
      <c r="J105" s="7"/>
      <c r="K105" s="7"/>
      <c r="L105" s="5"/>
      <c r="M105" s="14"/>
      <c r="N105" s="7"/>
      <c r="O105" s="7"/>
      <c r="P105" s="7"/>
      <c r="Q105" s="1"/>
    </row>
    <row r="106" spans="1:17" x14ac:dyDescent="0.25">
      <c r="A106" s="12"/>
      <c r="B106" s="11"/>
      <c r="C106" s="11"/>
      <c r="D106" s="10"/>
      <c r="E106" s="13"/>
      <c r="F106" s="10"/>
      <c r="G106" s="7"/>
      <c r="H106" s="5"/>
      <c r="I106" s="7"/>
      <c r="J106" s="7"/>
      <c r="K106" s="7"/>
      <c r="L106" s="5"/>
      <c r="M106" s="7"/>
      <c r="N106" s="7"/>
      <c r="O106" s="7"/>
      <c r="P106" s="7"/>
      <c r="Q106" s="1"/>
    </row>
    <row r="107" spans="1:17" x14ac:dyDescent="0.25">
      <c r="A107" s="12"/>
      <c r="B107" s="11"/>
      <c r="C107" s="11"/>
      <c r="D107" s="10"/>
      <c r="E107" s="13"/>
      <c r="F107" s="15"/>
      <c r="G107" s="7"/>
      <c r="H107" s="5"/>
      <c r="I107" s="7"/>
      <c r="J107" s="7"/>
      <c r="K107" s="7"/>
      <c r="L107" s="5"/>
      <c r="M107" s="13"/>
      <c r="N107" s="13"/>
      <c r="O107" s="13"/>
      <c r="P107" s="13"/>
      <c r="Q107" s="1"/>
    </row>
    <row r="108" spans="1:17" x14ac:dyDescent="0.25">
      <c r="A108" s="12"/>
      <c r="B108" s="11"/>
      <c r="C108" s="11"/>
      <c r="D108" s="10"/>
      <c r="E108" s="13"/>
      <c r="F108" s="10"/>
      <c r="G108" s="7"/>
      <c r="H108" s="5"/>
      <c r="I108" s="7"/>
      <c r="J108" s="7"/>
      <c r="K108" s="7"/>
      <c r="L108" s="5"/>
      <c r="M108" s="1"/>
      <c r="N108" s="7"/>
      <c r="O108" s="7"/>
      <c r="P108" s="7"/>
      <c r="Q108" s="1"/>
    </row>
    <row r="109" spans="1:17" x14ac:dyDescent="0.25">
      <c r="A109" s="12"/>
      <c r="B109" s="11"/>
      <c r="C109" s="11"/>
      <c r="D109" s="10"/>
      <c r="E109" s="13"/>
      <c r="F109" s="15"/>
      <c r="G109" s="7"/>
      <c r="H109" s="5"/>
      <c r="I109" s="7"/>
      <c r="J109" s="7"/>
      <c r="K109" s="7"/>
      <c r="L109" s="5"/>
      <c r="M109" s="7"/>
      <c r="N109" s="7"/>
      <c r="O109" s="7"/>
      <c r="P109" s="7"/>
      <c r="Q109" s="1"/>
    </row>
    <row r="110" spans="1:17" x14ac:dyDescent="0.25">
      <c r="A110" s="12"/>
      <c r="B110" s="11"/>
      <c r="C110" s="11"/>
      <c r="D110" s="10"/>
      <c r="E110" s="13"/>
      <c r="F110" s="15"/>
      <c r="G110" s="7"/>
      <c r="H110" s="5"/>
      <c r="I110" s="7"/>
      <c r="J110" s="7"/>
      <c r="K110" s="7"/>
      <c r="L110" s="5"/>
      <c r="M110" s="14"/>
      <c r="N110" s="7"/>
      <c r="O110" s="13"/>
      <c r="P110" s="7"/>
      <c r="Q110" s="1"/>
    </row>
    <row r="111" spans="1:17" x14ac:dyDescent="0.25">
      <c r="A111" s="8"/>
      <c r="B111" s="9"/>
      <c r="C111" s="10"/>
      <c r="D111" s="11"/>
      <c r="E111" s="13"/>
      <c r="F111" s="21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"/>
    </row>
    <row r="112" spans="1:17" x14ac:dyDescent="0.25">
      <c r="A112" s="12"/>
      <c r="B112" s="11"/>
      <c r="C112" s="11"/>
      <c r="D112" s="10"/>
      <c r="E112" s="13"/>
      <c r="F112" s="15"/>
      <c r="G112" s="7"/>
      <c r="H112" s="5"/>
      <c r="I112" s="7"/>
      <c r="J112" s="7"/>
      <c r="K112" s="7"/>
      <c r="L112" s="5"/>
      <c r="M112" s="13"/>
      <c r="N112" s="7"/>
      <c r="O112" s="7"/>
      <c r="P112" s="7"/>
      <c r="Q112" s="1"/>
    </row>
    <row r="113" spans="1:17" x14ac:dyDescent="0.25">
      <c r="A113" s="12"/>
      <c r="B113" s="11"/>
      <c r="C113" s="11"/>
      <c r="D113" s="10"/>
      <c r="E113" s="13"/>
      <c r="F113" s="15"/>
      <c r="G113" s="7"/>
      <c r="H113" s="5"/>
      <c r="I113" s="7"/>
      <c r="J113" s="7"/>
      <c r="K113" s="7"/>
      <c r="L113" s="5"/>
      <c r="M113" s="7"/>
      <c r="N113" s="7"/>
      <c r="O113" s="7"/>
      <c r="P113" s="7"/>
      <c r="Q113" s="1"/>
    </row>
    <row r="114" spans="1:17" x14ac:dyDescent="0.25">
      <c r="A114" s="12"/>
      <c r="B114" s="11"/>
      <c r="C114" s="11"/>
      <c r="D114" s="10"/>
      <c r="E114" s="13"/>
      <c r="F114" s="15"/>
      <c r="G114" s="7"/>
      <c r="H114" s="5"/>
      <c r="I114" s="7"/>
      <c r="J114" s="7"/>
      <c r="K114" s="7"/>
      <c r="L114" s="5"/>
      <c r="M114" s="13"/>
      <c r="N114" s="7"/>
      <c r="O114" s="13"/>
      <c r="P114" s="13"/>
      <c r="Q114" s="1"/>
    </row>
    <row r="115" spans="1:17" x14ac:dyDescent="0.25">
      <c r="A115" s="12"/>
      <c r="B115" s="11"/>
      <c r="C115" s="11"/>
      <c r="D115" s="10"/>
      <c r="E115" s="13"/>
      <c r="F115" s="15"/>
      <c r="G115" s="7"/>
      <c r="H115" s="5"/>
      <c r="I115" s="7"/>
      <c r="J115" s="7"/>
      <c r="K115" s="7"/>
      <c r="L115" s="5"/>
      <c r="M115" s="7"/>
      <c r="N115" s="7"/>
      <c r="O115" s="7"/>
      <c r="P115" s="7"/>
      <c r="Q115" s="1"/>
    </row>
    <row r="116" spans="1:17" x14ac:dyDescent="0.25">
      <c r="A116" s="12"/>
      <c r="B116" s="11"/>
      <c r="C116" s="11"/>
      <c r="D116" s="10"/>
      <c r="E116" s="13"/>
      <c r="F116" s="15"/>
      <c r="G116" s="7"/>
      <c r="H116" s="5"/>
      <c r="I116" s="7"/>
      <c r="J116" s="7"/>
      <c r="K116" s="7"/>
      <c r="L116" s="5"/>
      <c r="M116" s="7"/>
      <c r="N116" s="7"/>
      <c r="O116" s="7"/>
      <c r="P116" s="7"/>
      <c r="Q116" s="1"/>
    </row>
    <row r="117" spans="1:17" x14ac:dyDescent="0.25">
      <c r="A117" s="12"/>
      <c r="B117" s="11"/>
      <c r="C117" s="11"/>
      <c r="D117" s="10"/>
      <c r="E117" s="13"/>
      <c r="F117" s="15"/>
      <c r="G117" s="7"/>
      <c r="H117" s="5"/>
      <c r="I117" s="7"/>
      <c r="J117" s="7"/>
      <c r="K117" s="7"/>
      <c r="L117" s="5"/>
      <c r="M117" s="7"/>
      <c r="N117" s="7"/>
      <c r="O117" s="7"/>
      <c r="P117" s="7"/>
      <c r="Q117" s="1"/>
    </row>
    <row r="118" spans="1:17" x14ac:dyDescent="0.25">
      <c r="A118" s="12"/>
      <c r="B118" s="11"/>
      <c r="C118" s="11"/>
      <c r="D118" s="10"/>
      <c r="E118" s="13"/>
      <c r="F118" s="15"/>
      <c r="G118" s="7"/>
      <c r="H118" s="5"/>
      <c r="I118" s="7"/>
      <c r="J118" s="7"/>
      <c r="K118" s="7"/>
      <c r="L118" s="5"/>
      <c r="M118" s="7"/>
      <c r="N118" s="7"/>
      <c r="O118" s="7"/>
      <c r="P118" s="7"/>
      <c r="Q118" s="1"/>
    </row>
    <row r="119" spans="1:17" x14ac:dyDescent="0.25">
      <c r="A119" s="12"/>
      <c r="B119" s="11"/>
      <c r="C119" s="11"/>
      <c r="D119" s="10"/>
      <c r="E119" s="13"/>
      <c r="F119" s="15"/>
      <c r="G119" s="7"/>
      <c r="H119" s="5"/>
      <c r="I119" s="7"/>
      <c r="J119" s="7"/>
      <c r="K119" s="7"/>
      <c r="L119" s="5"/>
      <c r="M119" s="7"/>
      <c r="N119" s="7"/>
      <c r="O119" s="7"/>
      <c r="P119" s="7"/>
      <c r="Q119" s="1"/>
    </row>
    <row r="120" spans="1:17" x14ac:dyDescent="0.25">
      <c r="A120" s="12"/>
      <c r="B120" s="11"/>
      <c r="C120" s="11"/>
      <c r="D120" s="10"/>
      <c r="E120" s="13"/>
      <c r="F120" s="15"/>
      <c r="G120" s="7"/>
      <c r="H120" s="5"/>
      <c r="I120" s="7"/>
      <c r="J120" s="7"/>
      <c r="K120" s="7"/>
      <c r="L120" s="5"/>
      <c r="M120" s="14"/>
      <c r="N120" s="13"/>
      <c r="O120" s="13"/>
      <c r="P120" s="13"/>
      <c r="Q120" s="1"/>
    </row>
    <row r="121" spans="1:17" x14ac:dyDescent="0.25">
      <c r="A121" s="8"/>
      <c r="B121" s="9"/>
      <c r="C121" s="10"/>
      <c r="D121" s="11"/>
      <c r="E121" s="13"/>
      <c r="F121" s="21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"/>
    </row>
    <row r="122" spans="1:17" x14ac:dyDescent="0.25">
      <c r="A122" s="12"/>
      <c r="B122" s="11"/>
      <c r="C122" s="11"/>
      <c r="D122" s="10"/>
      <c r="E122" s="13"/>
      <c r="F122" s="15"/>
      <c r="G122" s="16"/>
      <c r="H122" s="5"/>
      <c r="I122" s="7"/>
      <c r="J122" s="7"/>
      <c r="K122" s="7"/>
      <c r="L122" s="5"/>
      <c r="M122" s="14"/>
      <c r="N122" s="13"/>
      <c r="O122" s="13"/>
      <c r="P122" s="13"/>
      <c r="Q122" s="1"/>
    </row>
    <row r="123" spans="1:17" x14ac:dyDescent="0.25">
      <c r="A123" s="12"/>
      <c r="B123" s="11"/>
      <c r="C123" s="11"/>
      <c r="D123" s="10"/>
      <c r="E123" s="13"/>
      <c r="F123" s="15"/>
      <c r="G123" s="16"/>
      <c r="H123" s="5"/>
      <c r="I123" s="7"/>
      <c r="J123" s="7"/>
      <c r="K123" s="7"/>
      <c r="L123" s="5"/>
      <c r="M123" s="7"/>
      <c r="N123" s="7"/>
      <c r="O123" s="7"/>
      <c r="P123" s="7"/>
      <c r="Q123" s="1"/>
    </row>
    <row r="124" spans="1:17" x14ac:dyDescent="0.25">
      <c r="A124" s="12"/>
      <c r="B124" s="11"/>
      <c r="C124" s="11"/>
      <c r="D124" s="10"/>
      <c r="E124" s="13"/>
      <c r="F124" s="15"/>
      <c r="G124" s="16"/>
      <c r="H124" s="5"/>
      <c r="I124" s="7"/>
      <c r="J124" s="7"/>
      <c r="K124" s="7"/>
      <c r="L124" s="5"/>
      <c r="M124" s="13"/>
      <c r="N124" s="7"/>
      <c r="O124" s="13"/>
      <c r="P124" s="13"/>
      <c r="Q124" s="1"/>
    </row>
    <row r="125" spans="1:17" x14ac:dyDescent="0.25">
      <c r="A125" s="12"/>
      <c r="B125" s="11"/>
      <c r="C125" s="11"/>
      <c r="D125" s="10"/>
      <c r="E125" s="13"/>
      <c r="F125" s="15"/>
      <c r="G125" s="16"/>
      <c r="H125" s="5"/>
      <c r="I125" s="7"/>
      <c r="J125" s="7"/>
      <c r="K125" s="7"/>
      <c r="L125" s="5"/>
      <c r="M125" s="14"/>
      <c r="N125" s="7"/>
      <c r="O125" s="13"/>
      <c r="P125" s="13"/>
      <c r="Q125" s="1"/>
    </row>
    <row r="126" spans="1:17" x14ac:dyDescent="0.25">
      <c r="A126" s="12"/>
      <c r="B126" s="11"/>
      <c r="C126" s="11"/>
      <c r="D126" s="10"/>
      <c r="E126" s="13"/>
      <c r="F126" s="15"/>
      <c r="G126" s="16"/>
      <c r="H126" s="5"/>
      <c r="I126" s="7"/>
      <c r="J126" s="7"/>
      <c r="K126" s="7"/>
      <c r="L126" s="5"/>
      <c r="M126" s="7"/>
      <c r="N126" s="7"/>
      <c r="O126" s="7"/>
      <c r="P126" s="7"/>
      <c r="Q126" s="1"/>
    </row>
    <row r="127" spans="1:17" x14ac:dyDescent="0.25">
      <c r="A127" s="12"/>
      <c r="B127" s="11"/>
      <c r="C127" s="11"/>
      <c r="D127" s="10"/>
      <c r="E127" s="13"/>
      <c r="F127" s="15"/>
      <c r="G127" s="16"/>
      <c r="H127" s="5"/>
      <c r="I127" s="7"/>
      <c r="J127" s="7"/>
      <c r="K127" s="7"/>
      <c r="L127" s="5"/>
      <c r="M127" s="13"/>
      <c r="N127" s="13"/>
      <c r="O127" s="13"/>
      <c r="P127" s="7"/>
      <c r="Q127" s="1"/>
    </row>
    <row r="128" spans="1:17" x14ac:dyDescent="0.25">
      <c r="A128" s="12"/>
      <c r="B128" s="11"/>
      <c r="C128" s="11"/>
      <c r="D128" s="10"/>
      <c r="E128" s="13"/>
      <c r="F128" s="15"/>
      <c r="G128" s="16"/>
      <c r="H128" s="5"/>
      <c r="I128" s="7"/>
      <c r="J128" s="7"/>
      <c r="K128" s="7"/>
      <c r="L128" s="5"/>
      <c r="M128" s="7"/>
      <c r="N128" s="7"/>
      <c r="O128" s="7"/>
      <c r="P128" s="7"/>
      <c r="Q128" s="1"/>
    </row>
    <row r="129" spans="1:17" x14ac:dyDescent="0.25">
      <c r="A129" s="12"/>
      <c r="B129" s="11"/>
      <c r="C129" s="11"/>
      <c r="D129" s="10"/>
      <c r="E129" s="13"/>
      <c r="F129" s="15"/>
      <c r="G129" s="16"/>
      <c r="H129" s="5"/>
      <c r="I129" s="7"/>
      <c r="J129" s="7"/>
      <c r="K129" s="7"/>
      <c r="L129" s="5"/>
      <c r="M129" s="7"/>
      <c r="N129" s="7"/>
      <c r="O129" s="7"/>
      <c r="P129" s="7"/>
      <c r="Q129" s="1"/>
    </row>
    <row r="130" spans="1:17" x14ac:dyDescent="0.25">
      <c r="A130" s="12"/>
      <c r="B130" s="11"/>
      <c r="C130" s="11"/>
      <c r="D130" s="10"/>
      <c r="E130" s="13"/>
      <c r="F130" s="15"/>
      <c r="G130" s="16"/>
      <c r="H130" s="5"/>
      <c r="I130" s="7"/>
      <c r="J130" s="7"/>
      <c r="K130" s="7"/>
      <c r="L130" s="5"/>
      <c r="M130" s="14"/>
      <c r="N130" s="13"/>
      <c r="O130" s="13"/>
      <c r="P130" s="13"/>
      <c r="Q130" s="1"/>
    </row>
    <row r="131" spans="1:17" x14ac:dyDescent="0.25">
      <c r="A131" s="12"/>
      <c r="B131" s="11"/>
      <c r="C131" s="11"/>
      <c r="D131" s="10"/>
      <c r="E131" s="13"/>
      <c r="F131" s="15"/>
      <c r="G131" s="16"/>
      <c r="H131" s="5"/>
      <c r="I131" s="7"/>
      <c r="J131" s="7"/>
      <c r="K131" s="7"/>
      <c r="L131" s="5"/>
      <c r="M131" s="13"/>
      <c r="N131" s="13"/>
      <c r="O131" s="13"/>
      <c r="P131" s="13"/>
      <c r="Q131" s="1"/>
    </row>
    <row r="132" spans="1:17" x14ac:dyDescent="0.25">
      <c r="A132" s="8"/>
      <c r="B132" s="9"/>
      <c r="C132" s="10"/>
      <c r="D132" s="11"/>
      <c r="E132" s="13"/>
      <c r="F132" s="21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"/>
    </row>
    <row r="133" spans="1:17" x14ac:dyDescent="0.25">
      <c r="A133" s="12"/>
      <c r="B133" s="11"/>
      <c r="C133" s="11"/>
      <c r="D133" s="10"/>
      <c r="E133" s="13"/>
      <c r="F133" s="15"/>
      <c r="G133" s="7"/>
      <c r="H133" s="5"/>
      <c r="I133" s="7"/>
      <c r="J133" s="7"/>
      <c r="K133" s="7"/>
      <c r="L133" s="5"/>
      <c r="M133" s="13"/>
      <c r="N133" s="13"/>
      <c r="O133" s="13"/>
      <c r="P133" s="13"/>
      <c r="Q133" s="1"/>
    </row>
    <row r="134" spans="1:17" x14ac:dyDescent="0.25">
      <c r="A134" s="12"/>
      <c r="B134" s="11"/>
      <c r="C134" s="11"/>
      <c r="D134" s="10"/>
      <c r="E134" s="13"/>
      <c r="F134" s="15"/>
      <c r="G134" s="7"/>
      <c r="H134" s="5"/>
      <c r="I134" s="7"/>
      <c r="J134" s="7"/>
      <c r="K134" s="7"/>
      <c r="L134" s="5"/>
      <c r="M134" s="7"/>
      <c r="N134" s="7"/>
      <c r="O134" s="7"/>
      <c r="P134" s="7"/>
      <c r="Q134" s="1"/>
    </row>
    <row r="135" spans="1:17" x14ac:dyDescent="0.25">
      <c r="A135" s="12"/>
      <c r="B135" s="11"/>
      <c r="C135" s="11"/>
      <c r="D135" s="10"/>
      <c r="E135" s="13"/>
      <c r="F135" s="15"/>
      <c r="G135" s="7"/>
      <c r="H135" s="5"/>
      <c r="I135" s="7"/>
      <c r="J135" s="7"/>
      <c r="K135" s="7"/>
      <c r="L135" s="5"/>
      <c r="M135" s="7"/>
      <c r="N135" s="7"/>
      <c r="O135" s="7"/>
      <c r="P135" s="7"/>
      <c r="Q135" s="1"/>
    </row>
    <row r="136" spans="1:17" x14ac:dyDescent="0.25">
      <c r="A136" s="12"/>
      <c r="B136" s="11"/>
      <c r="C136" s="11"/>
      <c r="D136" s="10"/>
      <c r="E136" s="13"/>
      <c r="F136" s="15"/>
      <c r="G136" s="7"/>
      <c r="H136" s="5"/>
      <c r="I136" s="7"/>
      <c r="J136" s="7"/>
      <c r="K136" s="7"/>
      <c r="L136" s="5"/>
      <c r="M136" s="7"/>
      <c r="N136" s="7"/>
      <c r="O136" s="7"/>
      <c r="P136" s="7"/>
      <c r="Q136" s="1"/>
    </row>
    <row r="137" spans="1:17" x14ac:dyDescent="0.25">
      <c r="A137" s="12"/>
      <c r="B137" s="11"/>
      <c r="C137" s="11"/>
      <c r="D137" s="10"/>
      <c r="E137" s="13"/>
      <c r="F137" s="15"/>
      <c r="G137" s="7"/>
      <c r="H137" s="5"/>
      <c r="I137" s="7"/>
      <c r="J137" s="7"/>
      <c r="K137" s="7"/>
      <c r="L137" s="5"/>
      <c r="M137" s="13"/>
      <c r="N137" s="13"/>
      <c r="O137" s="13"/>
      <c r="P137" s="13"/>
      <c r="Q137" s="1"/>
    </row>
    <row r="138" spans="1:17" x14ac:dyDescent="0.25">
      <c r="A138" s="8"/>
      <c r="B138" s="9"/>
      <c r="C138" s="10"/>
      <c r="D138" s="11"/>
      <c r="E138" s="13"/>
      <c r="F138" s="21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"/>
    </row>
    <row r="139" spans="1:17" x14ac:dyDescent="0.25">
      <c r="A139" s="12"/>
      <c r="B139" s="11"/>
      <c r="C139" s="11"/>
      <c r="D139" s="10"/>
      <c r="E139" s="13"/>
      <c r="F139" s="15"/>
      <c r="G139" s="7"/>
      <c r="H139" s="5"/>
      <c r="I139" s="7"/>
      <c r="J139" s="7"/>
      <c r="K139" s="7"/>
      <c r="L139" s="5"/>
      <c r="M139" s="7"/>
      <c r="N139" s="7"/>
      <c r="O139" s="7"/>
      <c r="P139" s="7"/>
      <c r="Q139" s="1"/>
    </row>
    <row r="140" spans="1:17" x14ac:dyDescent="0.25">
      <c r="A140" s="12"/>
      <c r="B140" s="11"/>
      <c r="C140" s="11"/>
      <c r="D140" s="10"/>
      <c r="E140" s="13"/>
      <c r="F140" s="15"/>
      <c r="G140" s="7"/>
      <c r="H140" s="5"/>
      <c r="I140" s="7"/>
      <c r="J140" s="7"/>
      <c r="K140" s="7"/>
      <c r="L140" s="5"/>
      <c r="M140" s="7"/>
      <c r="N140" s="7"/>
      <c r="O140" s="7"/>
      <c r="P140" s="7"/>
      <c r="Q140" s="1"/>
    </row>
    <row r="141" spans="1:17" x14ac:dyDescent="0.25">
      <c r="A141" s="12"/>
      <c r="B141" s="11"/>
      <c r="C141" s="11"/>
      <c r="D141" s="10"/>
      <c r="E141" s="13"/>
      <c r="F141" s="15"/>
      <c r="G141" s="7"/>
      <c r="H141" s="5"/>
      <c r="I141" s="7"/>
      <c r="J141" s="7"/>
      <c r="K141" s="7"/>
      <c r="L141" s="5"/>
      <c r="M141" s="7"/>
      <c r="N141" s="7"/>
      <c r="O141" s="7"/>
      <c r="P141" s="7"/>
      <c r="Q141" s="1"/>
    </row>
    <row r="142" spans="1:17" x14ac:dyDescent="0.25">
      <c r="A142" s="12"/>
      <c r="B142" s="11"/>
      <c r="C142" s="11"/>
      <c r="D142" s="10"/>
      <c r="E142" s="13"/>
      <c r="F142" s="15"/>
      <c r="G142" s="7"/>
      <c r="H142" s="5"/>
      <c r="I142" s="7"/>
      <c r="J142" s="7"/>
      <c r="K142" s="7"/>
      <c r="L142" s="5"/>
      <c r="M142" s="7"/>
      <c r="N142" s="7"/>
      <c r="O142" s="7"/>
      <c r="P142" s="7"/>
      <c r="Q142" s="1"/>
    </row>
    <row r="143" spans="1:17" x14ac:dyDescent="0.25">
      <c r="A143" s="12"/>
      <c r="B143" s="11"/>
      <c r="C143" s="11"/>
      <c r="D143" s="10"/>
      <c r="E143" s="13"/>
      <c r="F143" s="15"/>
      <c r="G143" s="7"/>
      <c r="H143" s="5"/>
      <c r="I143" s="7"/>
      <c r="J143" s="7"/>
      <c r="K143" s="7"/>
      <c r="L143" s="5"/>
      <c r="M143" s="13"/>
      <c r="N143" s="7"/>
      <c r="O143" s="13"/>
      <c r="P143" s="13"/>
      <c r="Q143" s="1"/>
    </row>
    <row r="144" spans="1:17" x14ac:dyDescent="0.25">
      <c r="A144" s="8"/>
      <c r="B144" s="9"/>
      <c r="C144" s="10"/>
      <c r="D144" s="11"/>
      <c r="E144" s="13"/>
      <c r="F144" s="21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"/>
    </row>
    <row r="145" spans="1:17" x14ac:dyDescent="0.25">
      <c r="A145" s="12"/>
      <c r="B145" s="11"/>
      <c r="C145" s="11"/>
      <c r="D145" s="10"/>
      <c r="E145" s="13"/>
      <c r="F145" s="15"/>
      <c r="G145" s="7"/>
      <c r="H145" s="5"/>
      <c r="I145" s="7"/>
      <c r="J145" s="7"/>
      <c r="K145" s="7"/>
      <c r="L145" s="5"/>
      <c r="M145" s="7"/>
      <c r="N145" s="7"/>
      <c r="O145" s="7"/>
      <c r="P145" s="7"/>
      <c r="Q145" s="1"/>
    </row>
    <row r="146" spans="1:17" x14ac:dyDescent="0.25">
      <c r="A146" s="12"/>
      <c r="B146" s="11"/>
      <c r="C146" s="11"/>
      <c r="D146" s="10"/>
      <c r="E146" s="13"/>
      <c r="F146" s="15"/>
      <c r="G146" s="7"/>
      <c r="H146" s="5"/>
      <c r="I146" s="7"/>
      <c r="J146" s="7"/>
      <c r="K146" s="7"/>
      <c r="L146" s="5"/>
      <c r="M146" s="7"/>
      <c r="N146" s="7"/>
      <c r="O146" s="7"/>
      <c r="P146" s="7"/>
      <c r="Q146" s="1"/>
    </row>
    <row r="147" spans="1:17" x14ac:dyDescent="0.25">
      <c r="A147" s="12"/>
      <c r="B147" s="11"/>
      <c r="C147" s="11"/>
      <c r="D147" s="10"/>
      <c r="E147" s="13"/>
      <c r="F147" s="15"/>
      <c r="G147" s="7"/>
      <c r="H147" s="5"/>
      <c r="I147" s="7"/>
      <c r="J147" s="7"/>
      <c r="K147" s="7"/>
      <c r="L147" s="5"/>
      <c r="M147" s="7"/>
      <c r="N147" s="7"/>
      <c r="O147" s="7"/>
      <c r="P147" s="7"/>
      <c r="Q147" s="1"/>
    </row>
    <row r="148" spans="1:17" x14ac:dyDescent="0.25">
      <c r="A148" s="12"/>
      <c r="B148" s="11"/>
      <c r="C148" s="11"/>
      <c r="D148" s="10"/>
      <c r="E148" s="13"/>
      <c r="F148" s="15"/>
      <c r="G148" s="7"/>
      <c r="H148" s="5"/>
      <c r="I148" s="7"/>
      <c r="J148" s="7"/>
      <c r="K148" s="7"/>
      <c r="L148" s="5"/>
      <c r="M148" s="7"/>
      <c r="N148" s="7"/>
      <c r="O148" s="7"/>
      <c r="P148" s="7"/>
      <c r="Q148" s="1"/>
    </row>
    <row r="149" spans="1:17" x14ac:dyDescent="0.25">
      <c r="A149" s="12"/>
      <c r="B149" s="11"/>
      <c r="C149" s="11"/>
      <c r="D149" s="10"/>
      <c r="E149" s="13"/>
      <c r="F149" s="15"/>
      <c r="G149" s="7"/>
      <c r="H149" s="5"/>
      <c r="I149" s="7"/>
      <c r="J149" s="7"/>
      <c r="K149" s="7"/>
      <c r="L149" s="5"/>
      <c r="M149" s="13"/>
      <c r="N149" s="7"/>
      <c r="O149" s="13"/>
      <c r="P149" s="13"/>
      <c r="Q149" s="1"/>
    </row>
    <row r="150" spans="1:17" x14ac:dyDescent="0.25">
      <c r="A150" s="8"/>
      <c r="B150" s="9"/>
      <c r="C150" s="10"/>
      <c r="D150" s="11"/>
      <c r="E150" s="13"/>
      <c r="F150" s="21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"/>
    </row>
    <row r="151" spans="1:17" x14ac:dyDescent="0.25">
      <c r="A151" s="12"/>
      <c r="B151" s="11"/>
      <c r="C151" s="11"/>
      <c r="D151" s="10"/>
      <c r="E151" s="13"/>
      <c r="F151" s="15"/>
      <c r="G151" s="7"/>
      <c r="H151" s="5"/>
      <c r="I151" s="7"/>
      <c r="J151" s="7"/>
      <c r="K151" s="7"/>
      <c r="L151" s="5"/>
      <c r="M151" s="14"/>
      <c r="N151" s="7"/>
      <c r="O151" s="13"/>
      <c r="P151" s="13"/>
      <c r="Q151" s="1"/>
    </row>
    <row r="152" spans="1:17" x14ac:dyDescent="0.25">
      <c r="A152" s="12"/>
      <c r="B152" s="11"/>
      <c r="C152" s="11"/>
      <c r="D152" s="10"/>
      <c r="E152" s="13"/>
      <c r="F152" s="15"/>
      <c r="G152" s="7"/>
      <c r="H152" s="5"/>
      <c r="I152" s="7"/>
      <c r="J152" s="7"/>
      <c r="K152" s="7"/>
      <c r="L152" s="5"/>
      <c r="M152" s="7"/>
      <c r="N152" s="7"/>
      <c r="O152" s="7"/>
      <c r="P152" s="7"/>
      <c r="Q152" s="1"/>
    </row>
    <row r="153" spans="1:17" x14ac:dyDescent="0.25">
      <c r="A153" s="12"/>
      <c r="B153" s="11"/>
      <c r="C153" s="11"/>
      <c r="D153" s="10"/>
      <c r="E153" s="13"/>
      <c r="F153" s="15"/>
      <c r="G153" s="7"/>
      <c r="H153" s="5"/>
      <c r="I153" s="7"/>
      <c r="J153" s="7"/>
      <c r="K153" s="7"/>
      <c r="L153" s="5"/>
      <c r="M153" s="7"/>
      <c r="N153" s="7"/>
      <c r="O153" s="7"/>
      <c r="P153" s="7"/>
      <c r="Q153" s="1"/>
    </row>
    <row r="154" spans="1:17" x14ac:dyDescent="0.25">
      <c r="A154" s="12"/>
      <c r="B154" s="11"/>
      <c r="C154" s="11"/>
      <c r="D154" s="10"/>
      <c r="E154" s="13"/>
      <c r="F154" s="15"/>
      <c r="G154" s="7"/>
      <c r="H154" s="5"/>
      <c r="I154" s="7"/>
      <c r="J154" s="7"/>
      <c r="K154" s="7"/>
      <c r="L154" s="5"/>
      <c r="M154" s="7"/>
      <c r="N154" s="7"/>
      <c r="O154" s="7"/>
      <c r="P154" s="7"/>
      <c r="Q154" s="1"/>
    </row>
    <row r="155" spans="1:17" x14ac:dyDescent="0.25">
      <c r="A155" s="12"/>
      <c r="B155" s="11"/>
      <c r="C155" s="11"/>
      <c r="D155" s="10"/>
      <c r="E155" s="13"/>
      <c r="F155" s="15"/>
      <c r="G155" s="7"/>
      <c r="H155" s="5"/>
      <c r="I155" s="7"/>
      <c r="J155" s="7"/>
      <c r="K155" s="7"/>
      <c r="L155" s="5"/>
      <c r="M155" s="13"/>
      <c r="N155" s="7"/>
      <c r="O155" s="13"/>
      <c r="P155" s="13"/>
      <c r="Q155" s="1"/>
    </row>
    <row r="156" spans="1:17" x14ac:dyDescent="0.25">
      <c r="A156" s="8"/>
      <c r="B156" s="9"/>
      <c r="C156" s="10"/>
      <c r="D156" s="11"/>
      <c r="E156" s="13"/>
      <c r="F156" s="21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"/>
    </row>
    <row r="157" spans="1:17" x14ac:dyDescent="0.25">
      <c r="A157" s="12"/>
      <c r="B157" s="11"/>
      <c r="C157" s="11"/>
      <c r="D157" s="10"/>
      <c r="E157" s="13"/>
      <c r="F157" s="15"/>
      <c r="G157" s="7"/>
      <c r="H157" s="5"/>
      <c r="I157" s="7"/>
      <c r="J157" s="7"/>
      <c r="K157" s="7"/>
      <c r="L157" s="5"/>
      <c r="M157" s="13"/>
      <c r="N157" s="7"/>
      <c r="O157" s="13"/>
      <c r="P157" s="13"/>
      <c r="Q157" s="1"/>
    </row>
    <row r="158" spans="1:17" x14ac:dyDescent="0.25">
      <c r="A158" s="12"/>
      <c r="B158" s="11"/>
      <c r="C158" s="11"/>
      <c r="D158" s="10"/>
      <c r="E158" s="13"/>
      <c r="F158" s="15"/>
      <c r="G158" s="7"/>
      <c r="H158" s="5"/>
      <c r="I158" s="7"/>
      <c r="J158" s="7"/>
      <c r="K158" s="7"/>
      <c r="L158" s="5"/>
      <c r="M158" s="7"/>
      <c r="N158" s="7"/>
      <c r="O158" s="7"/>
      <c r="P158" s="7"/>
      <c r="Q158" s="1"/>
    </row>
    <row r="159" spans="1:17" x14ac:dyDescent="0.25">
      <c r="A159" s="12"/>
      <c r="B159" s="11"/>
      <c r="C159" s="11"/>
      <c r="D159" s="10"/>
      <c r="E159" s="13"/>
      <c r="F159" s="15"/>
      <c r="G159" s="7"/>
      <c r="H159" s="5"/>
      <c r="I159" s="7"/>
      <c r="J159" s="7"/>
      <c r="K159" s="7"/>
      <c r="L159" s="5"/>
      <c r="M159" s="7"/>
      <c r="N159" s="7"/>
      <c r="O159" s="7"/>
      <c r="P159" s="7"/>
      <c r="Q159" s="1"/>
    </row>
    <row r="160" spans="1:17" x14ac:dyDescent="0.25">
      <c r="A160" s="12"/>
      <c r="B160" s="11"/>
      <c r="C160" s="11"/>
      <c r="D160" s="10"/>
      <c r="E160" s="13"/>
      <c r="F160" s="15"/>
      <c r="G160" s="7"/>
      <c r="H160" s="5"/>
      <c r="I160" s="7"/>
      <c r="J160" s="7"/>
      <c r="K160" s="7"/>
      <c r="L160" s="5"/>
      <c r="M160" s="7"/>
      <c r="N160" s="7"/>
      <c r="O160" s="7"/>
      <c r="P160" s="7"/>
      <c r="Q160" s="1"/>
    </row>
    <row r="161" spans="1:17" x14ac:dyDescent="0.25">
      <c r="A161" s="12"/>
      <c r="B161" s="11"/>
      <c r="C161" s="11"/>
      <c r="D161" s="10"/>
      <c r="E161" s="13"/>
      <c r="F161" s="15"/>
      <c r="G161" s="7"/>
      <c r="H161" s="5"/>
      <c r="I161" s="7"/>
      <c r="J161" s="7"/>
      <c r="K161" s="7"/>
      <c r="L161" s="5"/>
      <c r="M161" s="13"/>
      <c r="N161" s="7"/>
      <c r="O161" s="13"/>
      <c r="P161" s="13"/>
      <c r="Q161" s="1"/>
    </row>
    <row r="162" spans="1:17" x14ac:dyDescent="0.25">
      <c r="A162" s="8"/>
      <c r="B162" s="9"/>
      <c r="C162" s="10"/>
      <c r="D162" s="11"/>
      <c r="E162" s="13"/>
      <c r="F162" s="21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"/>
    </row>
    <row r="163" spans="1:17" x14ac:dyDescent="0.25">
      <c r="A163" s="12"/>
      <c r="B163" s="11"/>
      <c r="C163" s="11"/>
      <c r="D163" s="10"/>
      <c r="E163" s="13"/>
      <c r="F163" s="15"/>
      <c r="G163" s="7"/>
      <c r="H163" s="5"/>
      <c r="I163" s="7"/>
      <c r="J163" s="7"/>
      <c r="K163" s="7"/>
      <c r="L163" s="5"/>
      <c r="M163" s="7"/>
      <c r="N163" s="7"/>
      <c r="O163" s="13"/>
      <c r="P163" s="13"/>
      <c r="Q163" s="1"/>
    </row>
    <row r="164" spans="1:17" x14ac:dyDescent="0.25">
      <c r="A164" s="12"/>
      <c r="B164" s="11"/>
      <c r="C164" s="11"/>
      <c r="D164" s="10"/>
      <c r="E164" s="13"/>
      <c r="F164" s="15"/>
      <c r="G164" s="7"/>
      <c r="H164" s="5"/>
      <c r="I164" s="7"/>
      <c r="J164" s="7"/>
      <c r="K164" s="7"/>
      <c r="L164" s="5"/>
      <c r="M164" s="7"/>
      <c r="N164" s="7"/>
      <c r="O164" s="7"/>
      <c r="P164" s="7"/>
      <c r="Q164" s="1"/>
    </row>
    <row r="165" spans="1:17" x14ac:dyDescent="0.25">
      <c r="A165" s="12"/>
      <c r="B165" s="11"/>
      <c r="C165" s="11"/>
      <c r="D165" s="10"/>
      <c r="E165" s="13"/>
      <c r="F165" s="15"/>
      <c r="G165" s="7"/>
      <c r="H165" s="5"/>
      <c r="I165" s="7"/>
      <c r="J165" s="7"/>
      <c r="K165" s="7"/>
      <c r="L165" s="5"/>
      <c r="M165" s="7"/>
      <c r="N165" s="7"/>
      <c r="O165" s="7"/>
      <c r="P165" s="7"/>
      <c r="Q165" s="1"/>
    </row>
    <row r="166" spans="1:17" x14ac:dyDescent="0.25">
      <c r="A166" s="12"/>
      <c r="B166" s="11"/>
      <c r="C166" s="11"/>
      <c r="D166" s="10"/>
      <c r="E166" s="13"/>
      <c r="F166" s="15"/>
      <c r="G166" s="7"/>
      <c r="H166" s="5"/>
      <c r="I166" s="7"/>
      <c r="J166" s="7"/>
      <c r="K166" s="7"/>
      <c r="L166" s="5"/>
      <c r="M166" s="7"/>
      <c r="N166" s="7"/>
      <c r="O166" s="7"/>
      <c r="P166" s="7"/>
      <c r="Q166" s="1"/>
    </row>
    <row r="167" spans="1:17" x14ac:dyDescent="0.25">
      <c r="A167" s="12"/>
      <c r="B167" s="11"/>
      <c r="C167" s="11"/>
      <c r="D167" s="10"/>
      <c r="E167" s="13"/>
      <c r="F167" s="15"/>
      <c r="G167" s="7"/>
      <c r="H167" s="5"/>
      <c r="I167" s="7"/>
      <c r="J167" s="7"/>
      <c r="K167" s="7"/>
      <c r="L167" s="5"/>
      <c r="M167" s="13"/>
      <c r="N167" s="7"/>
      <c r="O167" s="13"/>
      <c r="P167" s="13"/>
      <c r="Q167" s="1"/>
    </row>
    <row r="168" spans="1:17" x14ac:dyDescent="0.25">
      <c r="A168" s="8"/>
      <c r="B168" s="9"/>
      <c r="C168" s="10"/>
      <c r="D168" s="11"/>
      <c r="E168" s="13"/>
      <c r="F168" s="21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"/>
    </row>
    <row r="169" spans="1:17" x14ac:dyDescent="0.25">
      <c r="A169" s="12"/>
      <c r="B169" s="11"/>
      <c r="C169" s="11"/>
      <c r="D169" s="10"/>
      <c r="E169" s="13"/>
      <c r="F169" s="15"/>
      <c r="G169" s="7"/>
      <c r="H169" s="5"/>
      <c r="I169" s="7"/>
      <c r="J169" s="7"/>
      <c r="K169" s="7"/>
      <c r="L169" s="5"/>
      <c r="M169" s="14"/>
      <c r="N169" s="7"/>
      <c r="O169" s="13"/>
      <c r="P169" s="13"/>
      <c r="Q169" s="1"/>
    </row>
    <row r="170" spans="1:17" x14ac:dyDescent="0.25">
      <c r="A170" s="12"/>
      <c r="B170" s="11"/>
      <c r="C170" s="11"/>
      <c r="D170" s="10"/>
      <c r="E170" s="13"/>
      <c r="F170" s="15"/>
      <c r="G170" s="7"/>
      <c r="H170" s="5"/>
      <c r="I170" s="7"/>
      <c r="J170" s="7"/>
      <c r="K170" s="7"/>
      <c r="L170" s="5"/>
      <c r="M170" s="7"/>
      <c r="N170" s="7"/>
      <c r="O170" s="7"/>
      <c r="P170" s="7"/>
      <c r="Q170" s="1"/>
    </row>
    <row r="171" spans="1:17" x14ac:dyDescent="0.25">
      <c r="A171" s="12"/>
      <c r="B171" s="11"/>
      <c r="C171" s="11"/>
      <c r="D171" s="10"/>
      <c r="E171" s="13"/>
      <c r="F171" s="15"/>
      <c r="G171" s="7"/>
      <c r="H171" s="5"/>
      <c r="I171" s="7"/>
      <c r="J171" s="7"/>
      <c r="K171" s="7"/>
      <c r="L171" s="5"/>
      <c r="M171" s="7"/>
      <c r="N171" s="7"/>
      <c r="O171" s="7"/>
      <c r="P171" s="7"/>
      <c r="Q171" s="1"/>
    </row>
    <row r="172" spans="1:17" x14ac:dyDescent="0.25">
      <c r="A172" s="12"/>
      <c r="B172" s="11"/>
      <c r="C172" s="11"/>
      <c r="D172" s="10"/>
      <c r="E172" s="13"/>
      <c r="F172" s="15"/>
      <c r="G172" s="7"/>
      <c r="H172" s="5"/>
      <c r="I172" s="7"/>
      <c r="J172" s="7"/>
      <c r="K172" s="7"/>
      <c r="L172" s="5"/>
      <c r="M172" s="7"/>
      <c r="N172" s="7"/>
      <c r="O172" s="7"/>
      <c r="P172" s="7"/>
      <c r="Q172" s="1"/>
    </row>
    <row r="173" spans="1:17" x14ac:dyDescent="0.25">
      <c r="A173" s="12"/>
      <c r="B173" s="11"/>
      <c r="C173" s="11"/>
      <c r="D173" s="10"/>
      <c r="E173" s="13"/>
      <c r="F173" s="15"/>
      <c r="G173" s="7"/>
      <c r="H173" s="5"/>
      <c r="I173" s="7"/>
      <c r="J173" s="7"/>
      <c r="K173" s="7"/>
      <c r="L173" s="5"/>
      <c r="M173" s="13"/>
      <c r="N173" s="7"/>
      <c r="O173" s="13"/>
      <c r="P173" s="13"/>
      <c r="Q173" s="1"/>
    </row>
    <row r="174" spans="1:17" x14ac:dyDescent="0.25">
      <c r="A174" s="8"/>
      <c r="B174" s="9"/>
      <c r="C174" s="10"/>
      <c r="D174" s="11"/>
      <c r="E174" s="13"/>
      <c r="F174" s="21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"/>
    </row>
    <row r="175" spans="1:17" x14ac:dyDescent="0.25">
      <c r="A175" s="12"/>
      <c r="B175" s="11"/>
      <c r="C175" s="11"/>
      <c r="D175" s="10"/>
      <c r="E175" s="13"/>
      <c r="F175" s="15"/>
      <c r="G175" s="7"/>
      <c r="H175" s="5"/>
      <c r="I175" s="7"/>
      <c r="J175" s="7"/>
      <c r="K175" s="7"/>
      <c r="L175" s="5"/>
      <c r="M175" s="7"/>
      <c r="N175" s="7"/>
      <c r="O175" s="7"/>
      <c r="P175" s="7"/>
      <c r="Q175" s="1"/>
    </row>
    <row r="176" spans="1:17" x14ac:dyDescent="0.25">
      <c r="A176" s="12"/>
      <c r="B176" s="11"/>
      <c r="C176" s="11"/>
      <c r="D176" s="10"/>
      <c r="E176" s="13"/>
      <c r="F176" s="15"/>
      <c r="G176" s="7"/>
      <c r="H176" s="5"/>
      <c r="I176" s="7"/>
      <c r="J176" s="7"/>
      <c r="K176" s="7"/>
      <c r="L176" s="5"/>
      <c r="M176" s="7"/>
      <c r="N176" s="7"/>
      <c r="O176" s="7"/>
      <c r="P176" s="7"/>
      <c r="Q176" s="1"/>
    </row>
    <row r="177" spans="1:17" x14ac:dyDescent="0.25">
      <c r="A177" s="12"/>
      <c r="B177" s="11"/>
      <c r="C177" s="11"/>
      <c r="D177" s="10"/>
      <c r="E177" s="13"/>
      <c r="F177" s="15"/>
      <c r="G177" s="7"/>
      <c r="H177" s="5"/>
      <c r="I177" s="7"/>
      <c r="J177" s="7"/>
      <c r="K177" s="7"/>
      <c r="L177" s="5"/>
      <c r="M177" s="7"/>
      <c r="N177" s="7"/>
      <c r="O177" s="7"/>
      <c r="P177" s="7"/>
      <c r="Q177" s="1"/>
    </row>
    <row r="178" spans="1:17" x14ac:dyDescent="0.25">
      <c r="A178" s="12"/>
      <c r="B178" s="11"/>
      <c r="C178" s="11"/>
      <c r="D178" s="10"/>
      <c r="E178" s="13"/>
      <c r="F178" s="15"/>
      <c r="G178" s="7"/>
      <c r="H178" s="5"/>
      <c r="I178" s="7"/>
      <c r="J178" s="7"/>
      <c r="K178" s="7"/>
      <c r="L178" s="5"/>
      <c r="M178" s="7"/>
      <c r="N178" s="7"/>
      <c r="O178" s="7"/>
      <c r="P178" s="7"/>
      <c r="Q178" s="1"/>
    </row>
    <row r="179" spans="1:17" x14ac:dyDescent="0.25">
      <c r="A179" s="12"/>
      <c r="B179" s="11"/>
      <c r="C179" s="11"/>
      <c r="D179" s="10"/>
      <c r="E179" s="13"/>
      <c r="F179" s="15"/>
      <c r="G179" s="7"/>
      <c r="H179" s="5"/>
      <c r="I179" s="7"/>
      <c r="J179" s="7"/>
      <c r="K179" s="7"/>
      <c r="L179" s="5"/>
      <c r="M179" s="14"/>
      <c r="N179" s="7"/>
      <c r="O179" s="13"/>
      <c r="P179" s="13"/>
      <c r="Q179" s="1"/>
    </row>
    <row r="180" spans="1:17" x14ac:dyDescent="0.25">
      <c r="A180" s="8"/>
      <c r="B180" s="9"/>
      <c r="C180" s="10"/>
      <c r="D180" s="11"/>
      <c r="E180" s="13"/>
      <c r="F180" s="21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"/>
    </row>
    <row r="181" spans="1:17" x14ac:dyDescent="0.25">
      <c r="A181" s="12"/>
      <c r="B181" s="11"/>
      <c r="C181" s="11"/>
      <c r="D181" s="10"/>
      <c r="E181" s="13"/>
      <c r="F181" s="15"/>
      <c r="G181" s="7"/>
      <c r="H181" s="5"/>
      <c r="I181" s="7"/>
      <c r="J181" s="7"/>
      <c r="K181" s="7"/>
      <c r="L181" s="5"/>
      <c r="M181" s="13"/>
      <c r="N181" s="7"/>
      <c r="O181" s="13"/>
      <c r="P181" s="13"/>
      <c r="Q181" s="1"/>
    </row>
    <row r="182" spans="1:17" x14ac:dyDescent="0.25">
      <c r="A182" s="12"/>
      <c r="B182" s="11"/>
      <c r="C182" s="11"/>
      <c r="D182" s="10"/>
      <c r="E182" s="13"/>
      <c r="F182" s="15"/>
      <c r="G182" s="7"/>
      <c r="H182" s="5"/>
      <c r="I182" s="7"/>
      <c r="J182" s="7"/>
      <c r="K182" s="7"/>
      <c r="L182" s="5"/>
      <c r="M182" s="7"/>
      <c r="N182" s="7"/>
      <c r="O182" s="7"/>
      <c r="P182" s="7"/>
      <c r="Q182" s="1"/>
    </row>
    <row r="183" spans="1:17" x14ac:dyDescent="0.25">
      <c r="A183" s="12"/>
      <c r="B183" s="11"/>
      <c r="C183" s="11"/>
      <c r="D183" s="10"/>
      <c r="E183" s="13"/>
      <c r="F183" s="15"/>
      <c r="G183" s="7"/>
      <c r="H183" s="5"/>
      <c r="I183" s="7"/>
      <c r="J183" s="7"/>
      <c r="K183" s="7"/>
      <c r="L183" s="5"/>
      <c r="M183" s="7"/>
      <c r="N183" s="7"/>
      <c r="O183" s="7"/>
      <c r="P183" s="7"/>
      <c r="Q183" s="1"/>
    </row>
    <row r="184" spans="1:17" x14ac:dyDescent="0.25">
      <c r="A184" s="12"/>
      <c r="B184" s="11"/>
      <c r="C184" s="11"/>
      <c r="D184" s="10"/>
      <c r="E184" s="13"/>
      <c r="F184" s="15"/>
      <c r="G184" s="7"/>
      <c r="H184" s="5"/>
      <c r="I184" s="7"/>
      <c r="J184" s="7"/>
      <c r="K184" s="7"/>
      <c r="L184" s="5"/>
      <c r="M184" s="7"/>
      <c r="N184" s="7"/>
      <c r="O184" s="7"/>
      <c r="P184" s="7"/>
      <c r="Q184" s="1"/>
    </row>
    <row r="185" spans="1:17" x14ac:dyDescent="0.25">
      <c r="A185" s="12"/>
      <c r="B185" s="11"/>
      <c r="C185" s="11"/>
      <c r="D185" s="10"/>
      <c r="E185" s="13"/>
      <c r="F185" s="15"/>
      <c r="G185" s="7"/>
      <c r="H185" s="5"/>
      <c r="I185" s="7"/>
      <c r="J185" s="7"/>
      <c r="K185" s="7"/>
      <c r="L185" s="5"/>
      <c r="M185" s="14"/>
      <c r="N185" s="7"/>
      <c r="O185" s="13"/>
      <c r="P185" s="13"/>
      <c r="Q185" s="1"/>
    </row>
    <row r="186" spans="1:17" x14ac:dyDescent="0.25">
      <c r="A186" s="8"/>
      <c r="B186" s="9"/>
      <c r="C186" s="10"/>
      <c r="D186" s="11"/>
      <c r="E186" s="13"/>
      <c r="F186" s="21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"/>
    </row>
    <row r="187" spans="1:17" x14ac:dyDescent="0.25">
      <c r="A187" s="12"/>
      <c r="B187" s="11"/>
      <c r="C187" s="11"/>
      <c r="D187" s="10"/>
      <c r="E187" s="13"/>
      <c r="F187" s="15"/>
      <c r="G187" s="7"/>
      <c r="H187" s="5"/>
      <c r="I187" s="7"/>
      <c r="J187" s="7"/>
      <c r="K187" s="7"/>
      <c r="L187" s="5"/>
      <c r="M187" s="13"/>
      <c r="N187" s="7"/>
      <c r="O187" s="13"/>
      <c r="P187" s="13"/>
      <c r="Q187" s="1"/>
    </row>
    <row r="188" spans="1:17" x14ac:dyDescent="0.25">
      <c r="A188" s="12"/>
      <c r="B188" s="11"/>
      <c r="C188" s="11"/>
      <c r="D188" s="10"/>
      <c r="E188" s="13"/>
      <c r="F188" s="15"/>
      <c r="G188" s="7"/>
      <c r="H188" s="5"/>
      <c r="I188" s="7"/>
      <c r="J188" s="7"/>
      <c r="K188" s="7"/>
      <c r="L188" s="5"/>
      <c r="M188" s="7"/>
      <c r="N188" s="7"/>
      <c r="O188" s="7"/>
      <c r="P188" s="7"/>
      <c r="Q188" s="3"/>
    </row>
    <row r="189" spans="1:17" x14ac:dyDescent="0.25">
      <c r="A189" s="12"/>
      <c r="B189" s="11"/>
      <c r="C189" s="11"/>
      <c r="D189" s="10"/>
      <c r="E189" s="13"/>
      <c r="F189" s="15"/>
      <c r="G189" s="7"/>
      <c r="H189" s="5"/>
      <c r="I189" s="7"/>
      <c r="J189" s="7"/>
      <c r="K189" s="7"/>
      <c r="L189" s="5"/>
      <c r="M189" s="7"/>
      <c r="N189" s="7"/>
      <c r="O189" s="7"/>
      <c r="P189" s="7"/>
      <c r="Q189" s="1"/>
    </row>
    <row r="190" spans="1:17" x14ac:dyDescent="0.25">
      <c r="A190" s="12"/>
      <c r="B190" s="11"/>
      <c r="C190" s="11"/>
      <c r="D190" s="10"/>
      <c r="E190" s="13"/>
      <c r="F190" s="15"/>
      <c r="G190" s="7"/>
      <c r="H190" s="5"/>
      <c r="I190" s="7"/>
      <c r="J190" s="7"/>
      <c r="K190" s="7"/>
      <c r="L190" s="5"/>
      <c r="M190" s="7"/>
      <c r="N190" s="7"/>
      <c r="O190" s="7"/>
      <c r="P190" s="7"/>
      <c r="Q190" s="1"/>
    </row>
    <row r="191" spans="1:17" x14ac:dyDescent="0.25">
      <c r="A191" s="12"/>
      <c r="B191" s="11"/>
      <c r="C191" s="11"/>
      <c r="D191" s="10"/>
      <c r="E191" s="13"/>
      <c r="F191" s="15"/>
      <c r="G191" s="7"/>
      <c r="H191" s="5"/>
      <c r="I191" s="7"/>
      <c r="J191" s="7"/>
      <c r="K191" s="7"/>
      <c r="L191" s="5"/>
      <c r="M191" s="14"/>
      <c r="N191" s="7"/>
      <c r="O191" s="13"/>
      <c r="P191" s="13"/>
      <c r="Q191" s="1"/>
    </row>
    <row r="192" spans="1:17" x14ac:dyDescent="0.25">
      <c r="A192" s="8"/>
      <c r="B192" s="9"/>
      <c r="C192" s="10"/>
      <c r="D192" s="11"/>
      <c r="E192" s="13"/>
      <c r="F192" s="21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"/>
    </row>
    <row r="193" spans="1:17" x14ac:dyDescent="0.25">
      <c r="A193" s="12"/>
      <c r="B193" s="11"/>
      <c r="C193" s="11"/>
      <c r="D193" s="10"/>
      <c r="E193" s="13"/>
      <c r="F193" s="15"/>
      <c r="G193" s="7"/>
      <c r="H193" s="5"/>
      <c r="I193" s="7"/>
      <c r="J193" s="7"/>
      <c r="K193" s="7"/>
      <c r="L193" s="5"/>
      <c r="M193" s="13"/>
      <c r="N193" s="7"/>
      <c r="O193" s="13"/>
      <c r="P193" s="13"/>
      <c r="Q193" s="1"/>
    </row>
    <row r="194" spans="1:17" x14ac:dyDescent="0.25">
      <c r="A194" s="12"/>
      <c r="B194" s="11"/>
      <c r="C194" s="11"/>
      <c r="D194" s="10"/>
      <c r="E194" s="13"/>
      <c r="F194" s="15"/>
      <c r="G194" s="7"/>
      <c r="H194" s="5"/>
      <c r="I194" s="7"/>
      <c r="J194" s="7"/>
      <c r="K194" s="7"/>
      <c r="L194" s="5"/>
      <c r="M194" s="7"/>
      <c r="N194" s="7"/>
      <c r="O194" s="7"/>
      <c r="P194" s="7"/>
      <c r="Q194" s="1"/>
    </row>
    <row r="195" spans="1:17" x14ac:dyDescent="0.25">
      <c r="A195" s="12"/>
      <c r="B195" s="11"/>
      <c r="C195" s="11"/>
      <c r="D195" s="10"/>
      <c r="E195" s="13"/>
      <c r="F195" s="15"/>
      <c r="G195" s="7"/>
      <c r="H195" s="5"/>
      <c r="I195" s="7"/>
      <c r="J195" s="7"/>
      <c r="K195" s="7"/>
      <c r="L195" s="5"/>
      <c r="M195" s="7"/>
      <c r="N195" s="7"/>
      <c r="O195" s="7"/>
      <c r="P195" s="7"/>
      <c r="Q195" s="1"/>
    </row>
    <row r="196" spans="1:17" x14ac:dyDescent="0.25">
      <c r="A196" s="12"/>
      <c r="B196" s="11"/>
      <c r="C196" s="11"/>
      <c r="D196" s="10"/>
      <c r="E196" s="13"/>
      <c r="F196" s="15"/>
      <c r="G196" s="7"/>
      <c r="H196" s="5"/>
      <c r="I196" s="7"/>
      <c r="J196" s="7"/>
      <c r="K196" s="7"/>
      <c r="L196" s="5"/>
      <c r="M196" s="7"/>
      <c r="N196" s="7"/>
      <c r="O196" s="7"/>
      <c r="P196" s="7"/>
      <c r="Q196" s="1"/>
    </row>
    <row r="197" spans="1:17" x14ac:dyDescent="0.25">
      <c r="A197" s="12"/>
      <c r="B197" s="11"/>
      <c r="C197" s="11"/>
      <c r="D197" s="10"/>
      <c r="E197" s="13"/>
      <c r="F197" s="15"/>
      <c r="G197" s="7"/>
      <c r="H197" s="5"/>
      <c r="I197" s="7"/>
      <c r="J197" s="7"/>
      <c r="K197" s="7"/>
      <c r="L197" s="5"/>
      <c r="M197" s="13"/>
      <c r="N197" s="7"/>
      <c r="O197" s="13"/>
      <c r="P197" s="13"/>
      <c r="Q197" s="1"/>
    </row>
    <row r="198" spans="1:17" x14ac:dyDescent="0.25">
      <c r="A198" s="8"/>
      <c r="B198" s="9"/>
      <c r="C198" s="10"/>
      <c r="D198" s="11"/>
      <c r="E198" s="13"/>
      <c r="F198" s="21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"/>
    </row>
    <row r="199" spans="1:17" x14ac:dyDescent="0.25">
      <c r="A199" s="12"/>
      <c r="B199" s="11"/>
      <c r="C199" s="11"/>
      <c r="D199" s="10"/>
      <c r="E199" s="13"/>
      <c r="F199" s="15"/>
      <c r="G199" s="7"/>
      <c r="H199" s="5"/>
      <c r="I199" s="7"/>
      <c r="J199" s="7"/>
      <c r="K199" s="7"/>
      <c r="L199" s="5"/>
      <c r="M199" s="14"/>
      <c r="N199" s="7"/>
      <c r="O199" s="13"/>
      <c r="P199" s="13"/>
      <c r="Q199" s="1"/>
    </row>
    <row r="200" spans="1:17" x14ac:dyDescent="0.25">
      <c r="A200" s="12"/>
      <c r="B200" s="11"/>
      <c r="C200" s="11"/>
      <c r="D200" s="10"/>
      <c r="E200" s="13"/>
      <c r="F200" s="15"/>
      <c r="G200" s="7"/>
      <c r="H200" s="5"/>
      <c r="I200" s="7"/>
      <c r="J200" s="7"/>
      <c r="K200" s="7"/>
      <c r="L200" s="5"/>
      <c r="M200" s="7"/>
      <c r="N200" s="7"/>
      <c r="O200" s="7"/>
      <c r="P200" s="7"/>
      <c r="Q200" s="1"/>
    </row>
    <row r="201" spans="1:17" x14ac:dyDescent="0.25">
      <c r="A201" s="12"/>
      <c r="B201" s="11"/>
      <c r="C201" s="11"/>
      <c r="D201" s="10"/>
      <c r="E201" s="13"/>
      <c r="F201" s="15"/>
      <c r="G201" s="7"/>
      <c r="H201" s="5"/>
      <c r="I201" s="7"/>
      <c r="J201" s="7"/>
      <c r="K201" s="7"/>
      <c r="L201" s="5"/>
      <c r="M201" s="13"/>
      <c r="N201" s="7"/>
      <c r="O201" s="7"/>
      <c r="P201" s="7"/>
      <c r="Q201" s="1"/>
    </row>
    <row r="202" spans="1:17" x14ac:dyDescent="0.25">
      <c r="A202" s="12"/>
      <c r="B202" s="11"/>
      <c r="C202" s="11"/>
      <c r="D202" s="10"/>
      <c r="E202" s="13"/>
      <c r="F202" s="15"/>
      <c r="G202" s="7"/>
      <c r="H202" s="5"/>
      <c r="I202" s="7"/>
      <c r="J202" s="7"/>
      <c r="K202" s="7"/>
      <c r="L202" s="5"/>
      <c r="M202" s="13"/>
      <c r="N202" s="7"/>
      <c r="O202" s="13"/>
      <c r="P202" s="13"/>
      <c r="Q202" s="1"/>
    </row>
    <row r="203" spans="1:17" x14ac:dyDescent="0.25">
      <c r="A203" s="12"/>
      <c r="B203" s="11"/>
      <c r="C203" s="11"/>
      <c r="D203" s="10"/>
      <c r="E203" s="13"/>
      <c r="F203" s="15"/>
      <c r="G203" s="7"/>
      <c r="H203" s="5"/>
      <c r="I203" s="7"/>
      <c r="J203" s="7"/>
      <c r="K203" s="7"/>
      <c r="L203" s="5"/>
      <c r="M203" s="7"/>
      <c r="N203" s="7"/>
      <c r="O203" s="7"/>
      <c r="P203" s="7"/>
      <c r="Q203" s="1"/>
    </row>
    <row r="204" spans="1:17" x14ac:dyDescent="0.25">
      <c r="A204" s="8"/>
      <c r="B204" s="9"/>
      <c r="C204" s="10"/>
      <c r="D204" s="11"/>
      <c r="E204" s="13"/>
      <c r="F204" s="21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"/>
    </row>
    <row r="205" spans="1:17" x14ac:dyDescent="0.25">
      <c r="A205" s="12"/>
      <c r="B205" s="11"/>
      <c r="C205" s="11"/>
      <c r="D205" s="10"/>
      <c r="E205" s="13"/>
      <c r="F205" s="15"/>
      <c r="G205" s="7"/>
      <c r="H205" s="5"/>
      <c r="I205" s="7"/>
      <c r="J205" s="7"/>
      <c r="K205" s="7"/>
      <c r="L205" s="5"/>
      <c r="M205" s="7"/>
      <c r="N205" s="7"/>
      <c r="O205" s="7"/>
      <c r="P205" s="7"/>
      <c r="Q205" s="1"/>
    </row>
    <row r="206" spans="1:17" x14ac:dyDescent="0.25">
      <c r="A206" s="12"/>
      <c r="B206" s="11"/>
      <c r="C206" s="11"/>
      <c r="D206" s="10"/>
      <c r="E206" s="13"/>
      <c r="F206" s="15"/>
      <c r="G206" s="16"/>
      <c r="H206" s="5"/>
      <c r="I206" s="7"/>
      <c r="J206" s="7"/>
      <c r="K206" s="7"/>
      <c r="L206" s="5"/>
      <c r="M206" s="7"/>
      <c r="N206" s="7"/>
      <c r="O206" s="7"/>
      <c r="P206" s="7"/>
      <c r="Q206" s="1"/>
    </row>
    <row r="207" spans="1:17" x14ac:dyDescent="0.25">
      <c r="A207" s="12"/>
      <c r="B207" s="11"/>
      <c r="C207" s="11"/>
      <c r="D207" s="10"/>
      <c r="E207" s="13"/>
      <c r="F207" s="15"/>
      <c r="G207" s="16"/>
      <c r="H207" s="5"/>
      <c r="I207" s="13"/>
      <c r="J207" s="7"/>
      <c r="K207" s="7"/>
      <c r="L207" s="5"/>
      <c r="M207" s="13"/>
      <c r="N207" s="7"/>
      <c r="O207" s="13"/>
      <c r="P207" s="13"/>
      <c r="Q207" s="1"/>
    </row>
    <row r="208" spans="1:17" x14ac:dyDescent="0.25">
      <c r="A208" s="12"/>
      <c r="B208" s="11"/>
      <c r="C208" s="11"/>
      <c r="D208" s="10"/>
      <c r="E208" s="13"/>
      <c r="F208" s="15"/>
      <c r="G208" s="16"/>
      <c r="H208" s="5"/>
      <c r="I208" s="7"/>
      <c r="J208" s="7"/>
      <c r="K208" s="7"/>
      <c r="L208" s="5"/>
      <c r="M208" s="7"/>
      <c r="N208" s="7"/>
      <c r="O208" s="7"/>
      <c r="P208" s="7"/>
      <c r="Q208" s="1"/>
    </row>
    <row r="209" spans="1:17" x14ac:dyDescent="0.25">
      <c r="A209" s="12"/>
      <c r="B209" s="11"/>
      <c r="C209" s="11"/>
      <c r="D209" s="10"/>
      <c r="E209" s="13"/>
      <c r="F209" s="15"/>
      <c r="G209" s="16"/>
      <c r="H209" s="5"/>
      <c r="I209" s="13"/>
      <c r="J209" s="7"/>
      <c r="K209" s="7"/>
      <c r="L209" s="5"/>
      <c r="M209" s="7"/>
      <c r="N209" s="7"/>
      <c r="O209" s="7"/>
      <c r="P209" s="7"/>
      <c r="Q209" s="1"/>
    </row>
    <row r="210" spans="1:17" x14ac:dyDescent="0.25">
      <c r="A210" s="12"/>
      <c r="B210" s="11"/>
      <c r="C210" s="11"/>
      <c r="D210" s="10"/>
      <c r="E210" s="13"/>
      <c r="F210" s="15"/>
      <c r="G210" s="16"/>
      <c r="H210" s="5"/>
      <c r="I210" s="7"/>
      <c r="J210" s="7"/>
      <c r="K210" s="7"/>
      <c r="L210" s="5"/>
      <c r="M210" s="13"/>
      <c r="N210" s="7"/>
      <c r="O210" s="7"/>
      <c r="P210" s="13"/>
      <c r="Q210" s="1"/>
    </row>
    <row r="211" spans="1:17" x14ac:dyDescent="0.25">
      <c r="A211" s="8"/>
      <c r="B211" s="9"/>
      <c r="C211" s="10"/>
      <c r="D211" s="11"/>
      <c r="E211" s="13"/>
      <c r="F211" s="21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"/>
    </row>
    <row r="212" spans="1:17" x14ac:dyDescent="0.25">
      <c r="A212" s="12"/>
      <c r="B212" s="11"/>
      <c r="C212" s="11"/>
      <c r="D212" s="10"/>
      <c r="E212" s="13"/>
      <c r="F212" s="15"/>
      <c r="G212" s="7"/>
      <c r="H212" s="5"/>
      <c r="I212" s="7"/>
      <c r="J212" s="7"/>
      <c r="K212" s="7"/>
      <c r="L212" s="5"/>
      <c r="M212" s="7"/>
      <c r="N212" s="7"/>
      <c r="O212" s="7"/>
      <c r="P212" s="7"/>
      <c r="Q212" s="1"/>
    </row>
    <row r="213" spans="1:17" x14ac:dyDescent="0.25">
      <c r="A213" s="12"/>
      <c r="B213" s="11"/>
      <c r="C213" s="11"/>
      <c r="D213" s="10"/>
      <c r="E213" s="13"/>
      <c r="F213" s="15"/>
      <c r="G213" s="7"/>
      <c r="H213" s="5"/>
      <c r="I213" s="7"/>
      <c r="J213" s="7"/>
      <c r="K213" s="7"/>
      <c r="L213" s="5"/>
      <c r="M213" s="7"/>
      <c r="N213" s="7"/>
      <c r="O213" s="7"/>
      <c r="P213" s="7"/>
      <c r="Q213" s="1"/>
    </row>
    <row r="214" spans="1:17" x14ac:dyDescent="0.25">
      <c r="A214" s="12"/>
      <c r="B214" s="11"/>
      <c r="C214" s="11"/>
      <c r="D214" s="10"/>
      <c r="E214" s="13"/>
      <c r="F214" s="15"/>
      <c r="G214" s="7"/>
      <c r="H214" s="5"/>
      <c r="I214" s="7"/>
      <c r="J214" s="7"/>
      <c r="K214" s="7"/>
      <c r="L214" s="5"/>
      <c r="M214" s="13"/>
      <c r="N214" s="7"/>
      <c r="O214" s="13"/>
      <c r="P214" s="7"/>
      <c r="Q214" s="1"/>
    </row>
    <row r="215" spans="1:17" x14ac:dyDescent="0.25">
      <c r="A215" s="12"/>
      <c r="B215" s="11"/>
      <c r="C215" s="11"/>
      <c r="D215" s="10"/>
      <c r="E215" s="13"/>
      <c r="F215" s="15"/>
      <c r="G215" s="7"/>
      <c r="H215" s="5"/>
      <c r="I215" s="7"/>
      <c r="J215" s="7"/>
      <c r="K215" s="7"/>
      <c r="L215" s="5"/>
      <c r="M215" s="13"/>
      <c r="N215" s="7"/>
      <c r="O215" s="13"/>
      <c r="P215" s="13"/>
      <c r="Q215" s="1"/>
    </row>
    <row r="216" spans="1:17" x14ac:dyDescent="0.25">
      <c r="A216" s="12"/>
      <c r="B216" s="11"/>
      <c r="C216" s="11"/>
      <c r="D216" s="10"/>
      <c r="E216" s="13"/>
      <c r="F216" s="15"/>
      <c r="G216" s="7"/>
      <c r="H216" s="5"/>
      <c r="I216" s="7"/>
      <c r="J216" s="7"/>
      <c r="K216" s="7"/>
      <c r="L216" s="5"/>
      <c r="M216" s="7"/>
      <c r="N216" s="7"/>
      <c r="O216" s="7"/>
      <c r="P216" s="7"/>
      <c r="Q216" s="1"/>
    </row>
    <row r="217" spans="1:17" x14ac:dyDescent="0.25">
      <c r="A217" s="12"/>
      <c r="B217" s="11"/>
      <c r="C217" s="11"/>
      <c r="D217" s="10"/>
      <c r="E217" s="13"/>
      <c r="F217" s="15"/>
      <c r="G217" s="7"/>
      <c r="H217" s="5"/>
      <c r="I217" s="7"/>
      <c r="J217" s="7"/>
      <c r="K217" s="7"/>
      <c r="L217" s="5"/>
      <c r="M217" s="13"/>
      <c r="N217" s="7"/>
      <c r="O217" s="7"/>
      <c r="P217" s="7"/>
      <c r="Q217" s="1"/>
    </row>
    <row r="218" spans="1:17" x14ac:dyDescent="0.25">
      <c r="A218" s="12"/>
      <c r="B218" s="11"/>
      <c r="C218" s="11"/>
      <c r="D218" s="10"/>
      <c r="E218" s="13"/>
      <c r="F218" s="15"/>
      <c r="G218" s="7"/>
      <c r="H218" s="5"/>
      <c r="I218" s="7"/>
      <c r="J218" s="7"/>
      <c r="K218" s="7"/>
      <c r="L218" s="5"/>
      <c r="M218" s="14"/>
      <c r="N218" s="7"/>
      <c r="O218" s="13"/>
      <c r="P218" s="7"/>
      <c r="Q218" s="1"/>
    </row>
    <row r="219" spans="1:17" x14ac:dyDescent="0.25">
      <c r="A219" s="12"/>
      <c r="B219" s="11"/>
      <c r="C219" s="11"/>
      <c r="D219" s="10"/>
      <c r="E219" s="13"/>
      <c r="F219" s="15"/>
      <c r="G219" s="7"/>
      <c r="H219" s="5"/>
      <c r="I219" s="7"/>
      <c r="J219" s="7"/>
      <c r="K219" s="7"/>
      <c r="L219" s="5"/>
      <c r="M219" s="13"/>
      <c r="N219" s="7"/>
      <c r="O219" s="13"/>
      <c r="P219" s="13"/>
      <c r="Q219" s="1"/>
    </row>
    <row r="220" spans="1:17" x14ac:dyDescent="0.25">
      <c r="A220" s="12"/>
      <c r="B220" s="11"/>
      <c r="C220" s="11"/>
      <c r="D220" s="10"/>
      <c r="E220" s="13"/>
      <c r="F220" s="15"/>
      <c r="G220" s="7"/>
      <c r="H220" s="5"/>
      <c r="I220" s="7"/>
      <c r="J220" s="7"/>
      <c r="K220" s="7"/>
      <c r="L220" s="5"/>
      <c r="M220" s="13"/>
      <c r="N220" s="7"/>
      <c r="O220" s="13"/>
      <c r="P220" s="7"/>
      <c r="Q220" s="1"/>
    </row>
    <row r="221" spans="1:17" x14ac:dyDescent="0.25">
      <c r="A221" s="8"/>
      <c r="B221" s="9"/>
      <c r="C221" s="10"/>
      <c r="D221" s="11"/>
      <c r="E221" s="13"/>
      <c r="F221" s="21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"/>
    </row>
    <row r="222" spans="1:17" x14ac:dyDescent="0.25">
      <c r="A222" s="12"/>
      <c r="B222" s="11"/>
      <c r="C222" s="11"/>
      <c r="D222" s="10"/>
      <c r="E222" s="13"/>
      <c r="F222" s="15"/>
      <c r="G222" s="7"/>
      <c r="H222" s="5"/>
      <c r="I222" s="7"/>
      <c r="J222" s="7"/>
      <c r="K222" s="7"/>
      <c r="L222" s="5"/>
      <c r="M222" s="7"/>
      <c r="N222" s="7"/>
      <c r="O222" s="7"/>
      <c r="P222" s="7"/>
      <c r="Q222" s="1"/>
    </row>
    <row r="223" spans="1:17" x14ac:dyDescent="0.25">
      <c r="A223" s="12"/>
      <c r="B223" s="11"/>
      <c r="C223" s="11"/>
      <c r="D223" s="10"/>
      <c r="E223" s="13"/>
      <c r="F223" s="15"/>
      <c r="G223" s="7"/>
      <c r="H223" s="5"/>
      <c r="I223" s="7"/>
      <c r="J223" s="7"/>
      <c r="K223" s="7"/>
      <c r="L223" s="5"/>
      <c r="M223" s="14"/>
      <c r="N223" s="7"/>
      <c r="O223" s="13"/>
      <c r="P223" s="7"/>
      <c r="Q223" s="1"/>
    </row>
    <row r="224" spans="1:17" x14ac:dyDescent="0.25">
      <c r="A224" s="8"/>
      <c r="B224" s="9"/>
      <c r="C224" s="10"/>
      <c r="D224" s="11"/>
      <c r="E224" s="13"/>
      <c r="F224" s="21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"/>
    </row>
    <row r="225" spans="1:17" x14ac:dyDescent="0.25">
      <c r="A225" s="12"/>
      <c r="B225" s="11"/>
      <c r="C225" s="11"/>
      <c r="D225" s="10"/>
      <c r="E225" s="13"/>
      <c r="F225" s="15"/>
      <c r="G225" s="7"/>
      <c r="H225" s="5"/>
      <c r="I225" s="7"/>
      <c r="J225" s="7"/>
      <c r="K225" s="7"/>
      <c r="L225" s="5"/>
      <c r="M225" s="13"/>
      <c r="N225" s="13"/>
      <c r="O225" s="13"/>
      <c r="P225" s="13"/>
      <c r="Q225" s="1"/>
    </row>
    <row r="226" spans="1:17" x14ac:dyDescent="0.25">
      <c r="A226" s="12"/>
      <c r="B226" s="11"/>
      <c r="C226" s="11"/>
      <c r="D226" s="10"/>
      <c r="E226" s="13"/>
      <c r="F226" s="15"/>
      <c r="G226" s="7"/>
      <c r="H226" s="5"/>
      <c r="I226" s="7"/>
      <c r="J226" s="7"/>
      <c r="K226" s="7"/>
      <c r="L226" s="5"/>
      <c r="M226" s="7"/>
      <c r="N226" s="7"/>
      <c r="O226" s="7"/>
      <c r="P226" s="7"/>
      <c r="Q226" s="1"/>
    </row>
    <row r="227" spans="1:17" x14ac:dyDescent="0.25">
      <c r="A227" s="12"/>
      <c r="B227" s="11"/>
      <c r="C227" s="11"/>
      <c r="D227" s="10"/>
      <c r="E227" s="13"/>
      <c r="F227" s="15"/>
      <c r="G227" s="7"/>
      <c r="H227" s="5"/>
      <c r="I227" s="7"/>
      <c r="J227" s="7"/>
      <c r="K227" s="7"/>
      <c r="L227" s="5"/>
      <c r="M227" s="14"/>
      <c r="N227" s="7"/>
      <c r="O227" s="13"/>
      <c r="P227" s="13"/>
      <c r="Q227" s="1"/>
    </row>
    <row r="228" spans="1:17" x14ac:dyDescent="0.25">
      <c r="A228" s="12"/>
      <c r="B228" s="11"/>
      <c r="C228" s="11"/>
      <c r="D228" s="10"/>
      <c r="E228" s="13"/>
      <c r="F228" s="15"/>
      <c r="G228" s="7"/>
      <c r="H228" s="5"/>
      <c r="I228" s="7"/>
      <c r="J228" s="7"/>
      <c r="K228" s="7"/>
      <c r="L228" s="5"/>
      <c r="M228" s="14"/>
      <c r="N228" s="7"/>
      <c r="O228" s="13"/>
      <c r="P228" s="13"/>
      <c r="Q228" s="1"/>
    </row>
    <row r="229" spans="1:17" x14ac:dyDescent="0.25">
      <c r="A229" s="8"/>
      <c r="B229" s="9"/>
      <c r="C229" s="10"/>
      <c r="D229" s="11"/>
      <c r="E229" s="13"/>
      <c r="F229" s="21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"/>
    </row>
    <row r="230" spans="1:17" x14ac:dyDescent="0.25">
      <c r="A230" s="12"/>
      <c r="B230" s="11"/>
      <c r="C230" s="11"/>
      <c r="D230" s="10"/>
      <c r="E230" s="13"/>
      <c r="F230" s="15"/>
      <c r="G230" s="7"/>
      <c r="H230" s="5"/>
      <c r="I230" s="7"/>
      <c r="J230" s="7"/>
      <c r="K230" s="7"/>
      <c r="L230" s="5"/>
      <c r="M230" s="7"/>
      <c r="N230" s="7"/>
      <c r="O230" s="7"/>
      <c r="P230" s="7"/>
      <c r="Q230" s="1"/>
    </row>
    <row r="231" spans="1:17" x14ac:dyDescent="0.25">
      <c r="A231" s="12"/>
      <c r="B231" s="11"/>
      <c r="C231" s="11"/>
      <c r="D231" s="10"/>
      <c r="E231" s="13"/>
      <c r="F231" s="15"/>
      <c r="G231" s="7"/>
      <c r="H231" s="5"/>
      <c r="I231" s="7"/>
      <c r="J231" s="7"/>
      <c r="K231" s="7"/>
      <c r="L231" s="5"/>
      <c r="M231" s="13"/>
      <c r="N231" s="7"/>
      <c r="O231" s="13"/>
      <c r="P231" s="7"/>
      <c r="Q231" s="1"/>
    </row>
    <row r="232" spans="1:17" x14ac:dyDescent="0.25">
      <c r="A232" s="12"/>
      <c r="B232" s="11"/>
      <c r="C232" s="11"/>
      <c r="D232" s="10"/>
      <c r="E232" s="13"/>
      <c r="F232" s="15"/>
      <c r="G232" s="7"/>
      <c r="H232" s="5"/>
      <c r="I232" s="7"/>
      <c r="J232" s="7"/>
      <c r="K232" s="7"/>
      <c r="L232" s="5"/>
      <c r="M232" s="14"/>
      <c r="N232" s="7"/>
      <c r="O232" s="13"/>
      <c r="P232" s="7"/>
      <c r="Q232" s="1"/>
    </row>
    <row r="233" spans="1:17" x14ac:dyDescent="0.25">
      <c r="A233" s="12"/>
      <c r="B233" s="11"/>
      <c r="C233" s="11"/>
      <c r="D233" s="10"/>
      <c r="E233" s="13"/>
      <c r="F233" s="15"/>
      <c r="G233" s="7"/>
      <c r="H233" s="5"/>
      <c r="I233" s="7"/>
      <c r="J233" s="7"/>
      <c r="K233" s="7"/>
      <c r="L233" s="5"/>
      <c r="M233" s="14"/>
      <c r="N233" s="7"/>
      <c r="O233" s="13"/>
      <c r="P233" s="7"/>
      <c r="Q233" s="1"/>
    </row>
    <row r="234" spans="1:17" x14ac:dyDescent="0.25">
      <c r="A234" s="12"/>
      <c r="B234" s="11"/>
      <c r="C234" s="11"/>
      <c r="D234" s="10"/>
      <c r="E234" s="13"/>
      <c r="F234" s="15"/>
      <c r="G234" s="7"/>
      <c r="H234" s="5"/>
      <c r="I234" s="7"/>
      <c r="J234" s="7"/>
      <c r="K234" s="7"/>
      <c r="L234" s="5"/>
      <c r="M234" s="14"/>
      <c r="N234" s="7"/>
      <c r="O234" s="13"/>
      <c r="P234" s="7"/>
      <c r="Q234" s="1"/>
    </row>
    <row r="235" spans="1:17" x14ac:dyDescent="0.25">
      <c r="A235" s="12"/>
      <c r="B235" s="11"/>
      <c r="C235" s="11"/>
      <c r="D235" s="10"/>
      <c r="E235" s="13"/>
      <c r="F235" s="15"/>
      <c r="G235" s="7"/>
      <c r="H235" s="5"/>
      <c r="I235" s="7"/>
      <c r="J235" s="7"/>
      <c r="K235" s="7"/>
      <c r="L235" s="5"/>
      <c r="M235" s="13"/>
      <c r="N235" s="7"/>
      <c r="O235" s="13"/>
      <c r="P235" s="7"/>
      <c r="Q235" s="1"/>
    </row>
    <row r="236" spans="1:17" x14ac:dyDescent="0.25">
      <c r="A236" s="12"/>
      <c r="B236" s="11"/>
      <c r="C236" s="11"/>
      <c r="D236" s="10"/>
      <c r="E236" s="13"/>
      <c r="F236" s="15"/>
      <c r="G236" s="7"/>
      <c r="H236" s="5"/>
      <c r="I236" s="7"/>
      <c r="J236" s="7"/>
      <c r="K236" s="7"/>
      <c r="L236" s="5"/>
      <c r="M236" s="13"/>
      <c r="N236" s="13"/>
      <c r="O236" s="13"/>
      <c r="P236" s="13"/>
      <c r="Q236" s="1"/>
    </row>
    <row r="237" spans="1:17" x14ac:dyDescent="0.25">
      <c r="A237" s="12"/>
      <c r="B237" s="11"/>
      <c r="C237" s="11"/>
      <c r="D237" s="10"/>
      <c r="E237" s="13"/>
      <c r="F237" s="15"/>
      <c r="G237" s="7"/>
      <c r="H237" s="5"/>
      <c r="I237" s="7"/>
      <c r="J237" s="7"/>
      <c r="K237" s="7"/>
      <c r="L237" s="5"/>
      <c r="M237" s="7"/>
      <c r="N237" s="7"/>
      <c r="O237" s="7"/>
      <c r="P237" s="7"/>
      <c r="Q237" s="1"/>
    </row>
    <row r="238" spans="1:17" x14ac:dyDescent="0.25">
      <c r="A238" s="8"/>
      <c r="B238" s="9"/>
      <c r="C238" s="10"/>
      <c r="D238" s="11"/>
      <c r="E238" s="13"/>
      <c r="F238" s="21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"/>
    </row>
    <row r="239" spans="1:17" x14ac:dyDescent="0.25">
      <c r="A239" s="12"/>
      <c r="B239" s="11"/>
      <c r="C239" s="11"/>
      <c r="D239" s="10"/>
      <c r="E239" s="13"/>
      <c r="F239" s="15"/>
      <c r="G239" s="7"/>
      <c r="H239" s="5"/>
      <c r="I239" s="7"/>
      <c r="J239" s="7"/>
      <c r="K239" s="7"/>
      <c r="L239" s="5"/>
      <c r="M239" s="13"/>
      <c r="N239" s="7"/>
      <c r="O239" s="13"/>
      <c r="P239" s="7"/>
      <c r="Q239" s="1"/>
    </row>
    <row r="240" spans="1:17" x14ac:dyDescent="0.25">
      <c r="A240" s="12"/>
      <c r="B240" s="11"/>
      <c r="C240" s="11"/>
      <c r="D240" s="10"/>
      <c r="E240" s="13"/>
      <c r="F240" s="15"/>
      <c r="G240" s="7"/>
      <c r="H240" s="5"/>
      <c r="I240" s="7"/>
      <c r="J240" s="7"/>
      <c r="K240" s="7"/>
      <c r="L240" s="5"/>
      <c r="M240" s="14"/>
      <c r="N240" s="7"/>
      <c r="O240" s="13"/>
      <c r="P240" s="7"/>
      <c r="Q240" s="1"/>
    </row>
    <row r="241" spans="1:17" x14ac:dyDescent="0.25">
      <c r="A241" s="12"/>
      <c r="B241" s="11"/>
      <c r="C241" s="11"/>
      <c r="D241" s="10"/>
      <c r="E241" s="13"/>
      <c r="F241" s="15"/>
      <c r="G241" s="7"/>
      <c r="H241" s="5"/>
      <c r="I241" s="7"/>
      <c r="J241" s="7"/>
      <c r="K241" s="7"/>
      <c r="L241" s="5"/>
      <c r="M241" s="14"/>
      <c r="N241" s="7"/>
      <c r="O241" s="13"/>
      <c r="P241" s="7"/>
      <c r="Q241" s="1"/>
    </row>
    <row r="242" spans="1:17" x14ac:dyDescent="0.25">
      <c r="A242" s="12"/>
      <c r="B242" s="11"/>
      <c r="C242" s="11"/>
      <c r="D242" s="10"/>
      <c r="E242" s="13"/>
      <c r="F242" s="15"/>
      <c r="G242" s="7"/>
      <c r="H242" s="5"/>
      <c r="I242" s="7"/>
      <c r="J242" s="7"/>
      <c r="K242" s="7"/>
      <c r="L242" s="5"/>
      <c r="M242" s="14"/>
      <c r="N242" s="7"/>
      <c r="O242" s="13"/>
      <c r="P242" s="7"/>
      <c r="Q242" s="1"/>
    </row>
    <row r="243" spans="1:17" x14ac:dyDescent="0.25">
      <c r="A243" s="12"/>
      <c r="B243" s="11"/>
      <c r="C243" s="11"/>
      <c r="D243" s="10"/>
      <c r="E243" s="13"/>
      <c r="F243" s="15"/>
      <c r="G243" s="7"/>
      <c r="H243" s="5"/>
      <c r="I243" s="7"/>
      <c r="J243" s="7"/>
      <c r="K243" s="7"/>
      <c r="L243" s="5"/>
      <c r="M243" s="14"/>
      <c r="N243" s="7"/>
      <c r="O243" s="13"/>
      <c r="P243" s="7"/>
      <c r="Q243" s="1"/>
    </row>
    <row r="244" spans="1:17" x14ac:dyDescent="0.25">
      <c r="A244" s="12"/>
      <c r="B244" s="11"/>
      <c r="C244" s="11"/>
      <c r="D244" s="10"/>
      <c r="E244" s="13"/>
      <c r="F244" s="15"/>
      <c r="G244" s="7"/>
      <c r="H244" s="5"/>
      <c r="I244" s="7"/>
      <c r="J244" s="7"/>
      <c r="K244" s="7"/>
      <c r="L244" s="5"/>
      <c r="M244" s="7"/>
      <c r="N244" s="7"/>
      <c r="O244" s="7"/>
      <c r="P244" s="7"/>
      <c r="Q244" s="1"/>
    </row>
    <row r="245" spans="1:17" x14ac:dyDescent="0.25">
      <c r="A245" s="8"/>
      <c r="B245" s="9"/>
      <c r="C245" s="10"/>
      <c r="D245" s="11"/>
      <c r="E245" s="13"/>
      <c r="F245" s="21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"/>
    </row>
    <row r="246" spans="1:17" x14ac:dyDescent="0.25">
      <c r="A246" s="12"/>
      <c r="B246" s="11"/>
      <c r="C246" s="11"/>
      <c r="D246" s="10"/>
      <c r="E246" s="13"/>
      <c r="F246" s="15"/>
      <c r="G246" s="7"/>
      <c r="H246" s="5"/>
      <c r="I246" s="7"/>
      <c r="J246" s="7"/>
      <c r="K246" s="7"/>
      <c r="L246" s="5"/>
      <c r="M246" s="7"/>
      <c r="N246" s="7"/>
      <c r="O246" s="7"/>
      <c r="P246" s="7"/>
      <c r="Q246" s="1"/>
    </row>
    <row r="247" spans="1:17" x14ac:dyDescent="0.25">
      <c r="A247" s="12"/>
      <c r="B247" s="11"/>
      <c r="C247" s="11"/>
      <c r="D247" s="10"/>
      <c r="E247" s="13"/>
      <c r="F247" s="15"/>
      <c r="G247" s="7"/>
      <c r="H247" s="5"/>
      <c r="I247" s="7"/>
      <c r="J247" s="7"/>
      <c r="K247" s="7"/>
      <c r="L247" s="5"/>
      <c r="M247" s="7"/>
      <c r="N247" s="7"/>
      <c r="O247" s="7"/>
      <c r="P247" s="7"/>
      <c r="Q247" s="1"/>
    </row>
    <row r="248" spans="1:17" x14ac:dyDescent="0.25">
      <c r="A248" s="12"/>
      <c r="B248" s="11"/>
      <c r="C248" s="11"/>
      <c r="D248" s="10"/>
      <c r="E248" s="13"/>
      <c r="F248" s="15"/>
      <c r="G248" s="7"/>
      <c r="H248" s="5"/>
      <c r="I248" s="7"/>
      <c r="J248" s="7"/>
      <c r="K248" s="7"/>
      <c r="L248" s="5"/>
      <c r="M248" s="7"/>
      <c r="N248" s="7"/>
      <c r="O248" s="7"/>
      <c r="P248" s="7"/>
      <c r="Q248" s="1"/>
    </row>
    <row r="249" spans="1:17" x14ac:dyDescent="0.25">
      <c r="A249" s="12"/>
      <c r="B249" s="11"/>
      <c r="C249" s="11"/>
      <c r="D249" s="10"/>
      <c r="E249" s="13"/>
      <c r="F249" s="15"/>
      <c r="G249" s="7"/>
      <c r="H249" s="5"/>
      <c r="I249" s="7"/>
      <c r="J249" s="7"/>
      <c r="K249" s="7"/>
      <c r="L249" s="5"/>
      <c r="M249" s="7"/>
      <c r="N249" s="7"/>
      <c r="O249" s="7"/>
      <c r="P249" s="7"/>
      <c r="Q249" s="1"/>
    </row>
    <row r="250" spans="1:17" x14ac:dyDescent="0.25">
      <c r="A250" s="12"/>
      <c r="B250" s="11"/>
      <c r="C250" s="11"/>
      <c r="D250" s="10"/>
      <c r="E250" s="13"/>
      <c r="F250" s="15"/>
      <c r="G250" s="7"/>
      <c r="H250" s="5"/>
      <c r="I250" s="7"/>
      <c r="J250" s="7"/>
      <c r="K250" s="7"/>
      <c r="L250" s="5"/>
      <c r="M250" s="7"/>
      <c r="N250" s="7"/>
      <c r="O250" s="7"/>
      <c r="P250" s="7"/>
      <c r="Q250" s="1"/>
    </row>
    <row r="251" spans="1:17" x14ac:dyDescent="0.25">
      <c r="A251" s="12"/>
      <c r="B251" s="11"/>
      <c r="C251" s="11"/>
      <c r="D251" s="10"/>
      <c r="E251" s="13"/>
      <c r="F251" s="15"/>
      <c r="G251" s="7"/>
      <c r="H251" s="5"/>
      <c r="I251" s="7"/>
      <c r="J251" s="7"/>
      <c r="K251" s="7"/>
      <c r="L251" s="5"/>
      <c r="M251" s="7"/>
      <c r="N251" s="7"/>
      <c r="O251" s="7"/>
      <c r="P251" s="7"/>
      <c r="Q251" s="1"/>
    </row>
    <row r="252" spans="1:17" x14ac:dyDescent="0.25">
      <c r="A252" s="8"/>
      <c r="B252" s="9"/>
      <c r="C252" s="10"/>
      <c r="D252" s="11"/>
      <c r="E252" s="13"/>
      <c r="F252" s="21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"/>
    </row>
    <row r="253" spans="1:17" x14ac:dyDescent="0.25">
      <c r="A253" s="12"/>
      <c r="B253" s="11"/>
      <c r="C253" s="11"/>
      <c r="D253" s="10"/>
      <c r="E253" s="13"/>
      <c r="F253" s="15"/>
      <c r="G253" s="7"/>
      <c r="H253" s="5"/>
      <c r="I253" s="7"/>
      <c r="J253" s="7"/>
      <c r="K253" s="7"/>
      <c r="L253" s="5"/>
      <c r="M253" s="7"/>
      <c r="N253" s="7"/>
      <c r="O253" s="7"/>
      <c r="P253" s="7"/>
      <c r="Q253" s="1"/>
    </row>
    <row r="254" spans="1:17" x14ac:dyDescent="0.25">
      <c r="A254" s="12"/>
      <c r="B254" s="11"/>
      <c r="C254" s="11"/>
      <c r="D254" s="10"/>
      <c r="E254" s="13"/>
      <c r="F254" s="15"/>
      <c r="G254" s="7"/>
      <c r="H254" s="5"/>
      <c r="I254" s="7"/>
      <c r="J254" s="7"/>
      <c r="K254" s="7"/>
      <c r="L254" s="5"/>
      <c r="M254" s="7"/>
      <c r="N254" s="7"/>
      <c r="O254" s="7"/>
      <c r="P254" s="7"/>
      <c r="Q254" s="1"/>
    </row>
    <row r="255" spans="1:17" x14ac:dyDescent="0.25">
      <c r="A255" s="12"/>
      <c r="B255" s="11"/>
      <c r="C255" s="11"/>
      <c r="D255" s="10"/>
      <c r="E255" s="13"/>
      <c r="F255" s="15"/>
      <c r="G255" s="7"/>
      <c r="H255" s="5"/>
      <c r="I255" s="7"/>
      <c r="J255" s="7"/>
      <c r="K255" s="7"/>
      <c r="L255" s="5"/>
      <c r="M255" s="18"/>
      <c r="N255" s="7"/>
      <c r="O255" s="13"/>
      <c r="P255" s="13"/>
      <c r="Q255" s="1"/>
    </row>
    <row r="256" spans="1:17" x14ac:dyDescent="0.25">
      <c r="A256" s="12"/>
      <c r="B256" s="11"/>
      <c r="C256" s="11"/>
      <c r="D256" s="10"/>
      <c r="E256" s="13"/>
      <c r="F256" s="15"/>
      <c r="G256" s="7"/>
      <c r="H256" s="5"/>
      <c r="I256" s="7"/>
      <c r="J256" s="7"/>
      <c r="K256" s="7"/>
      <c r="L256" s="5"/>
      <c r="M256" s="18"/>
      <c r="N256" s="7"/>
      <c r="O256" s="13"/>
      <c r="P256" s="13"/>
      <c r="Q256" s="1"/>
    </row>
    <row r="257" spans="1:17" x14ac:dyDescent="0.25">
      <c r="A257" s="12"/>
      <c r="B257" s="11"/>
      <c r="C257" s="11"/>
      <c r="D257" s="10"/>
      <c r="E257" s="13"/>
      <c r="F257" s="15"/>
      <c r="G257" s="7"/>
      <c r="H257" s="5"/>
      <c r="I257" s="7"/>
      <c r="J257" s="7"/>
      <c r="K257" s="7"/>
      <c r="L257" s="5"/>
      <c r="M257" s="18"/>
      <c r="N257" s="7"/>
      <c r="O257" s="13"/>
      <c r="P257" s="13"/>
      <c r="Q257" s="1"/>
    </row>
    <row r="258" spans="1:17" x14ac:dyDescent="0.25">
      <c r="A258" s="12"/>
      <c r="B258" s="11"/>
      <c r="C258" s="11"/>
      <c r="D258" s="10"/>
      <c r="E258" s="13"/>
      <c r="F258" s="15"/>
      <c r="G258" s="7"/>
      <c r="H258" s="5"/>
      <c r="I258" s="7"/>
      <c r="J258" s="7"/>
      <c r="K258" s="7"/>
      <c r="L258" s="5"/>
      <c r="M258" s="7"/>
      <c r="N258" s="7"/>
      <c r="O258" s="7"/>
      <c r="P258" s="7"/>
      <c r="Q258" s="1"/>
    </row>
    <row r="259" spans="1:17" x14ac:dyDescent="0.25">
      <c r="A259" s="8"/>
      <c r="B259" s="9"/>
      <c r="C259" s="10"/>
      <c r="D259" s="11"/>
      <c r="E259" s="13"/>
      <c r="F259" s="21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"/>
    </row>
    <row r="260" spans="1:17" x14ac:dyDescent="0.25">
      <c r="A260" s="12"/>
      <c r="B260" s="11"/>
      <c r="C260" s="11"/>
      <c r="D260" s="10"/>
      <c r="E260" s="13"/>
      <c r="F260" s="15"/>
      <c r="G260" s="7"/>
      <c r="H260" s="5"/>
      <c r="I260" s="7"/>
      <c r="J260" s="7"/>
      <c r="K260" s="7"/>
      <c r="L260" s="5"/>
      <c r="M260" s="7"/>
      <c r="N260" s="7"/>
      <c r="O260" s="7"/>
      <c r="P260" s="7"/>
      <c r="Q260" s="1"/>
    </row>
    <row r="261" spans="1:17" x14ac:dyDescent="0.25">
      <c r="A261" s="12"/>
      <c r="B261" s="11"/>
      <c r="C261" s="11"/>
      <c r="D261" s="10"/>
      <c r="E261" s="13"/>
      <c r="F261" s="15"/>
      <c r="G261" s="7"/>
      <c r="H261" s="5"/>
      <c r="I261" s="7"/>
      <c r="J261" s="7"/>
      <c r="K261" s="7"/>
      <c r="L261" s="5"/>
      <c r="M261" s="18"/>
      <c r="N261" s="7"/>
      <c r="O261" s="13"/>
      <c r="P261" s="13"/>
      <c r="Q261" s="1"/>
    </row>
    <row r="262" spans="1:17" x14ac:dyDescent="0.25">
      <c r="A262" s="12"/>
      <c r="B262" s="11"/>
      <c r="C262" s="11"/>
      <c r="D262" s="10"/>
      <c r="E262" s="13"/>
      <c r="F262" s="15"/>
      <c r="G262" s="7"/>
      <c r="H262" s="5"/>
      <c r="I262" s="7"/>
      <c r="J262" s="7"/>
      <c r="K262" s="7"/>
      <c r="L262" s="5"/>
      <c r="M262" s="19"/>
      <c r="N262" s="7"/>
      <c r="O262" s="13"/>
      <c r="P262" s="13"/>
      <c r="Q262" s="1"/>
    </row>
    <row r="263" spans="1:17" x14ac:dyDescent="0.25">
      <c r="A263" s="12"/>
      <c r="B263" s="11"/>
      <c r="C263" s="11"/>
      <c r="D263" s="10"/>
      <c r="E263" s="13"/>
      <c r="F263" s="15"/>
      <c r="G263" s="7"/>
      <c r="H263" s="5"/>
      <c r="I263" s="7"/>
      <c r="J263" s="7"/>
      <c r="K263" s="7"/>
      <c r="L263" s="5"/>
      <c r="M263" s="18"/>
      <c r="N263" s="7"/>
      <c r="O263" s="13"/>
      <c r="P263" s="13"/>
      <c r="Q263" s="1"/>
    </row>
    <row r="264" spans="1:17" x14ac:dyDescent="0.25">
      <c r="A264" s="12"/>
      <c r="B264" s="11"/>
      <c r="C264" s="11"/>
      <c r="D264" s="10"/>
      <c r="E264" s="13"/>
      <c r="F264" s="15"/>
      <c r="G264" s="7"/>
      <c r="H264" s="5"/>
      <c r="I264" s="7"/>
      <c r="J264" s="7"/>
      <c r="K264" s="7"/>
      <c r="L264" s="5"/>
      <c r="M264" s="19"/>
      <c r="N264" s="7"/>
      <c r="O264" s="13"/>
      <c r="P264" s="13"/>
      <c r="Q264" s="1"/>
    </row>
    <row r="265" spans="1:17" x14ac:dyDescent="0.25">
      <c r="A265" s="12"/>
      <c r="B265" s="11"/>
      <c r="C265" s="11"/>
      <c r="D265" s="10"/>
      <c r="E265" s="13"/>
      <c r="F265" s="15"/>
      <c r="G265" s="7"/>
      <c r="H265" s="5"/>
      <c r="I265" s="7"/>
      <c r="J265" s="7"/>
      <c r="K265" s="7"/>
      <c r="L265" s="5"/>
      <c r="M265" s="7"/>
      <c r="N265" s="7"/>
      <c r="O265" s="7"/>
      <c r="P265" s="7"/>
      <c r="Q265" s="1"/>
    </row>
    <row r="266" spans="1:17" x14ac:dyDescent="0.25">
      <c r="A266" s="8"/>
      <c r="B266" s="9"/>
      <c r="C266" s="10"/>
      <c r="D266" s="11"/>
      <c r="E266" s="13"/>
      <c r="F266" s="21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"/>
    </row>
    <row r="267" spans="1:17" x14ac:dyDescent="0.25">
      <c r="A267" s="12"/>
      <c r="B267" s="11"/>
      <c r="C267" s="11"/>
      <c r="D267" s="10"/>
      <c r="E267" s="13"/>
      <c r="F267" s="15"/>
      <c r="G267" s="7"/>
      <c r="H267" s="5"/>
      <c r="I267" s="7"/>
      <c r="J267" s="7"/>
      <c r="K267" s="7"/>
      <c r="L267" s="5"/>
      <c r="M267" s="7"/>
      <c r="N267" s="7"/>
      <c r="O267" s="7"/>
      <c r="P267" s="7"/>
      <c r="Q267" s="1"/>
    </row>
    <row r="268" spans="1:17" x14ac:dyDescent="0.25">
      <c r="A268" s="12"/>
      <c r="B268" s="11"/>
      <c r="C268" s="11"/>
      <c r="D268" s="10"/>
      <c r="E268" s="13"/>
      <c r="F268" s="15"/>
      <c r="G268" s="7"/>
      <c r="H268" s="5"/>
      <c r="I268" s="7"/>
      <c r="J268" s="7"/>
      <c r="K268" s="7"/>
      <c r="L268" s="5"/>
      <c r="M268" s="18"/>
      <c r="N268" s="7"/>
      <c r="O268" s="13"/>
      <c r="P268" s="13"/>
      <c r="Q268" s="1"/>
    </row>
    <row r="269" spans="1:17" x14ac:dyDescent="0.25">
      <c r="A269" s="12"/>
      <c r="B269" s="11"/>
      <c r="C269" s="11"/>
      <c r="D269" s="10"/>
      <c r="E269" s="13"/>
      <c r="F269" s="15"/>
      <c r="G269" s="7"/>
      <c r="H269" s="5"/>
      <c r="I269" s="7"/>
      <c r="J269" s="7"/>
      <c r="K269" s="7"/>
      <c r="L269" s="5"/>
      <c r="M269" s="7"/>
      <c r="N269" s="7"/>
      <c r="O269" s="7"/>
      <c r="P269" s="7"/>
      <c r="Q269" s="1"/>
    </row>
    <row r="270" spans="1:17" x14ac:dyDescent="0.25">
      <c r="A270" s="12"/>
      <c r="B270" s="11"/>
      <c r="C270" s="11"/>
      <c r="D270" s="10"/>
      <c r="E270" s="13"/>
      <c r="F270" s="15"/>
      <c r="G270" s="7"/>
      <c r="H270" s="5"/>
      <c r="I270" s="7"/>
      <c r="J270" s="7"/>
      <c r="K270" s="7"/>
      <c r="L270" s="5"/>
      <c r="M270" s="7"/>
      <c r="N270" s="7"/>
      <c r="O270" s="7"/>
      <c r="P270" s="7"/>
      <c r="Q270" s="1"/>
    </row>
    <row r="271" spans="1:17" x14ac:dyDescent="0.25">
      <c r="A271" s="12"/>
      <c r="B271" s="11"/>
      <c r="C271" s="11"/>
      <c r="D271" s="10"/>
      <c r="E271" s="13"/>
      <c r="F271" s="15"/>
      <c r="G271" s="7"/>
      <c r="H271" s="5"/>
      <c r="I271" s="7"/>
      <c r="J271" s="7"/>
      <c r="K271" s="7"/>
      <c r="L271" s="5"/>
      <c r="M271" s="7"/>
      <c r="N271" s="7"/>
      <c r="O271" s="7"/>
      <c r="P271" s="7"/>
      <c r="Q271" s="1"/>
    </row>
    <row r="272" spans="1:17" x14ac:dyDescent="0.25">
      <c r="A272" s="12"/>
      <c r="B272" s="11"/>
      <c r="C272" s="11"/>
      <c r="D272" s="10"/>
      <c r="E272" s="13"/>
      <c r="F272" s="15"/>
      <c r="G272" s="7"/>
      <c r="H272" s="5"/>
      <c r="I272" s="7"/>
      <c r="J272" s="7"/>
      <c r="K272" s="7"/>
      <c r="L272" s="5"/>
      <c r="M272" s="7"/>
      <c r="N272" s="7"/>
      <c r="O272" s="7"/>
      <c r="P272" s="7"/>
      <c r="Q272" s="1"/>
    </row>
    <row r="273" spans="1:17" x14ac:dyDescent="0.25">
      <c r="A273" s="8"/>
      <c r="B273" s="9"/>
      <c r="C273" s="10"/>
      <c r="D273" s="11"/>
      <c r="E273" s="13"/>
      <c r="F273" s="22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"/>
    </row>
    <row r="274" spans="1:17" x14ac:dyDescent="0.25">
      <c r="A274" s="12"/>
      <c r="B274" s="11"/>
      <c r="C274" s="11"/>
      <c r="D274" s="10"/>
      <c r="E274" s="13"/>
      <c r="F274" s="15"/>
      <c r="G274" s="7"/>
      <c r="H274" s="7"/>
      <c r="I274" s="7"/>
      <c r="J274" s="7"/>
      <c r="K274" s="7"/>
      <c r="L274" s="5"/>
      <c r="M274" s="7"/>
      <c r="N274" s="7"/>
      <c r="O274" s="7"/>
      <c r="P274" s="7"/>
      <c r="Q274" s="1"/>
    </row>
    <row r="275" spans="1:17" x14ac:dyDescent="0.25">
      <c r="A275" s="12"/>
      <c r="B275" s="11"/>
      <c r="C275" s="11"/>
      <c r="D275" s="10"/>
      <c r="E275" s="13"/>
      <c r="F275" s="15"/>
      <c r="G275" s="7"/>
      <c r="H275" s="7"/>
      <c r="I275" s="7"/>
      <c r="J275" s="7"/>
      <c r="K275" s="7"/>
      <c r="L275" s="5"/>
      <c r="M275" s="7"/>
      <c r="N275" s="7"/>
      <c r="O275" s="7"/>
      <c r="P275" s="7"/>
      <c r="Q275" s="1"/>
    </row>
    <row r="276" spans="1:17" x14ac:dyDescent="0.25">
      <c r="A276" s="8"/>
      <c r="B276" s="9"/>
      <c r="C276" s="10"/>
      <c r="D276" s="11"/>
      <c r="E276" s="13"/>
      <c r="F276" s="21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"/>
    </row>
    <row r="277" spans="1:17" x14ac:dyDescent="0.25">
      <c r="A277" s="12"/>
      <c r="B277" s="11"/>
      <c r="C277" s="11"/>
      <c r="D277" s="10"/>
      <c r="E277" s="13"/>
      <c r="F277" s="15"/>
      <c r="G277" s="7"/>
      <c r="H277" s="5"/>
      <c r="I277" s="7"/>
      <c r="J277" s="7"/>
      <c r="K277" s="7"/>
      <c r="L277" s="5"/>
      <c r="M277" s="7"/>
      <c r="N277" s="7"/>
      <c r="O277" s="7"/>
      <c r="P277" s="7"/>
      <c r="Q277" s="1"/>
    </row>
    <row r="278" spans="1:17" x14ac:dyDescent="0.25">
      <c r="A278" s="12"/>
      <c r="B278" s="11"/>
      <c r="C278" s="11"/>
      <c r="D278" s="10"/>
      <c r="E278" s="13"/>
      <c r="F278" s="15"/>
      <c r="G278" s="7"/>
      <c r="H278" s="5"/>
      <c r="I278" s="7"/>
      <c r="J278" s="7"/>
      <c r="K278" s="7"/>
      <c r="L278" s="5"/>
      <c r="M278" s="20"/>
      <c r="N278" s="7"/>
      <c r="O278" s="13"/>
      <c r="P278" s="7"/>
      <c r="Q278" s="1"/>
    </row>
    <row r="279" spans="1:17" x14ac:dyDescent="0.25">
      <c r="A279" s="12"/>
      <c r="B279" s="11"/>
      <c r="C279" s="11"/>
      <c r="D279" s="10"/>
      <c r="E279" s="13"/>
      <c r="F279" s="15"/>
      <c r="G279" s="7"/>
      <c r="H279" s="5"/>
      <c r="I279" s="7"/>
      <c r="J279" s="7"/>
      <c r="K279" s="7"/>
      <c r="L279" s="5"/>
      <c r="M279" s="7"/>
      <c r="N279" s="7"/>
      <c r="O279" s="7"/>
      <c r="P279" s="7"/>
      <c r="Q279" s="1"/>
    </row>
    <row r="280" spans="1:17" x14ac:dyDescent="0.25">
      <c r="A280" s="12"/>
      <c r="B280" s="11"/>
      <c r="C280" s="11"/>
      <c r="D280" s="10"/>
      <c r="E280" s="13"/>
      <c r="F280" s="15"/>
      <c r="G280" s="7"/>
      <c r="H280" s="5"/>
      <c r="I280" s="7"/>
      <c r="J280" s="7"/>
      <c r="K280" s="7"/>
      <c r="L280" s="5"/>
      <c r="M280" s="7"/>
      <c r="N280" s="7"/>
      <c r="O280" s="7"/>
      <c r="P280" s="7"/>
      <c r="Q280" s="1"/>
    </row>
    <row r="281" spans="1:17" x14ac:dyDescent="0.25">
      <c r="A281" s="12"/>
      <c r="B281" s="11"/>
      <c r="C281" s="11"/>
      <c r="D281" s="10"/>
      <c r="E281" s="13"/>
      <c r="F281" s="15"/>
      <c r="G281" s="7"/>
      <c r="H281" s="5"/>
      <c r="I281" s="7"/>
      <c r="J281" s="7"/>
      <c r="K281" s="7"/>
      <c r="L281" s="5"/>
      <c r="M281" s="7"/>
      <c r="N281" s="7"/>
      <c r="O281" s="7"/>
      <c r="P281" s="7"/>
      <c r="Q281" s="1"/>
    </row>
    <row r="282" spans="1:17" x14ac:dyDescent="0.25">
      <c r="A282" s="12"/>
      <c r="B282" s="11"/>
      <c r="C282" s="11"/>
      <c r="D282" s="10"/>
      <c r="E282" s="13"/>
      <c r="F282" s="15"/>
      <c r="G282" s="7"/>
      <c r="H282" s="5"/>
      <c r="I282" s="7"/>
      <c r="J282" s="7"/>
      <c r="K282" s="7"/>
      <c r="L282" s="5"/>
      <c r="M282" s="18"/>
      <c r="N282" s="7"/>
      <c r="O282" s="13"/>
      <c r="P282" s="7"/>
      <c r="Q282" s="1"/>
    </row>
    <row r="283" spans="1:17" x14ac:dyDescent="0.25">
      <c r="A283" s="12"/>
      <c r="B283" s="11"/>
      <c r="C283" s="11"/>
      <c r="D283" s="10"/>
      <c r="E283" s="13"/>
      <c r="F283" s="15"/>
      <c r="G283" s="7"/>
      <c r="H283" s="5"/>
      <c r="I283" s="7"/>
      <c r="J283" s="7"/>
      <c r="K283" s="7"/>
      <c r="L283" s="5"/>
      <c r="M283" s="18"/>
      <c r="N283" s="7"/>
      <c r="O283" s="13"/>
      <c r="P283" s="7"/>
      <c r="Q283" s="1"/>
    </row>
    <row r="284" spans="1:17" x14ac:dyDescent="0.25">
      <c r="A284" s="12"/>
      <c r="B284" s="11"/>
      <c r="C284" s="11"/>
      <c r="D284" s="10"/>
      <c r="E284" s="13"/>
      <c r="F284" s="15"/>
      <c r="G284" s="7"/>
      <c r="H284" s="5"/>
      <c r="I284" s="7"/>
      <c r="J284" s="7"/>
      <c r="K284" s="7"/>
      <c r="L284" s="5"/>
      <c r="M284" s="18"/>
      <c r="N284" s="7"/>
      <c r="O284" s="13"/>
      <c r="P284" s="7"/>
      <c r="Q284" s="1"/>
    </row>
    <row r="285" spans="1:17" x14ac:dyDescent="0.25">
      <c r="A285" s="8"/>
      <c r="B285" s="9"/>
      <c r="C285" s="10"/>
      <c r="D285" s="11"/>
      <c r="E285" s="13"/>
      <c r="F285" s="21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"/>
    </row>
    <row r="286" spans="1:17" x14ac:dyDescent="0.25">
      <c r="A286" s="12"/>
      <c r="B286" s="11"/>
      <c r="C286" s="11"/>
      <c r="D286" s="10"/>
      <c r="E286" s="13"/>
      <c r="F286" s="15"/>
      <c r="G286" s="7"/>
      <c r="H286" s="5"/>
      <c r="I286" s="7"/>
      <c r="J286" s="7"/>
      <c r="K286" s="7"/>
      <c r="L286" s="5"/>
      <c r="M286" s="7"/>
      <c r="N286" s="7"/>
      <c r="O286" s="7"/>
      <c r="P286" s="7"/>
      <c r="Q286" s="1"/>
    </row>
    <row r="287" spans="1:17" x14ac:dyDescent="0.25">
      <c r="A287" s="12"/>
      <c r="B287" s="11"/>
      <c r="C287" s="11"/>
      <c r="D287" s="10"/>
      <c r="E287" s="13"/>
      <c r="F287" s="15"/>
      <c r="G287" s="7"/>
      <c r="H287" s="5"/>
      <c r="I287" s="7"/>
      <c r="J287" s="7"/>
      <c r="K287" s="7"/>
      <c r="L287" s="5"/>
      <c r="M287" s="7"/>
      <c r="N287" s="7"/>
      <c r="O287" s="7"/>
      <c r="P287" s="7"/>
      <c r="Q287" s="1"/>
    </row>
    <row r="288" spans="1:17" x14ac:dyDescent="0.25">
      <c r="A288" s="12"/>
      <c r="B288" s="11"/>
      <c r="C288" s="11"/>
      <c r="D288" s="10"/>
      <c r="E288" s="13"/>
      <c r="F288" s="15"/>
      <c r="G288" s="7"/>
      <c r="H288" s="5"/>
      <c r="I288" s="7"/>
      <c r="J288" s="7"/>
      <c r="K288" s="7"/>
      <c r="L288" s="5"/>
      <c r="M288" s="7"/>
      <c r="N288" s="7"/>
      <c r="O288" s="7"/>
      <c r="P288" s="7"/>
      <c r="Q288" s="1"/>
    </row>
    <row r="289" spans="1:17" x14ac:dyDescent="0.25">
      <c r="A289" s="12"/>
      <c r="B289" s="11"/>
      <c r="C289" s="11"/>
      <c r="D289" s="10"/>
      <c r="E289" s="13"/>
      <c r="F289" s="15"/>
      <c r="G289" s="7"/>
      <c r="H289" s="5"/>
      <c r="I289" s="7"/>
      <c r="J289" s="7"/>
      <c r="K289" s="7"/>
      <c r="L289" s="5"/>
      <c r="M289" s="7"/>
      <c r="N289" s="7"/>
      <c r="O289" s="7"/>
      <c r="P289" s="7"/>
      <c r="Q289" s="1"/>
    </row>
    <row r="290" spans="1:17" x14ac:dyDescent="0.25">
      <c r="A290" s="8"/>
      <c r="B290" s="9"/>
      <c r="C290" s="10"/>
      <c r="D290" s="11"/>
      <c r="E290" s="13"/>
      <c r="F290" s="21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"/>
    </row>
    <row r="291" spans="1:17" x14ac:dyDescent="0.25">
      <c r="A291" s="12"/>
      <c r="B291" s="11"/>
      <c r="C291" s="11"/>
      <c r="D291" s="10"/>
      <c r="E291" s="13"/>
      <c r="F291" s="15"/>
      <c r="G291" s="7"/>
      <c r="H291" s="5"/>
      <c r="I291" s="7"/>
      <c r="J291" s="7"/>
      <c r="K291" s="7"/>
      <c r="L291" s="5"/>
      <c r="M291" s="7"/>
      <c r="N291" s="7"/>
      <c r="O291" s="7"/>
      <c r="P291" s="7"/>
      <c r="Q291" s="1"/>
    </row>
    <row r="292" spans="1:17" x14ac:dyDescent="0.25">
      <c r="A292" s="12"/>
      <c r="B292" s="11"/>
      <c r="C292" s="11"/>
      <c r="D292" s="10"/>
      <c r="E292" s="13"/>
      <c r="F292" s="15"/>
      <c r="G292" s="7"/>
      <c r="H292" s="5"/>
      <c r="I292" s="7"/>
      <c r="J292" s="7"/>
      <c r="K292" s="7"/>
      <c r="L292" s="5"/>
      <c r="M292" s="18"/>
      <c r="N292" s="7"/>
      <c r="O292" s="13"/>
      <c r="P292" s="7"/>
      <c r="Q292" s="1"/>
    </row>
    <row r="293" spans="1:17" x14ac:dyDescent="0.25">
      <c r="A293" s="12"/>
      <c r="B293" s="11"/>
      <c r="C293" s="11"/>
      <c r="D293" s="10"/>
      <c r="E293" s="13"/>
      <c r="F293" s="15"/>
      <c r="G293" s="7"/>
      <c r="H293" s="5"/>
      <c r="I293" s="7"/>
      <c r="J293" s="7"/>
      <c r="K293" s="7"/>
      <c r="L293" s="5"/>
      <c r="M293" s="18"/>
      <c r="N293" s="7"/>
      <c r="O293" s="13"/>
      <c r="P293" s="7"/>
      <c r="Q293" s="1"/>
    </row>
    <row r="294" spans="1:17" x14ac:dyDescent="0.25">
      <c r="A294" s="12"/>
      <c r="B294" s="11"/>
      <c r="C294" s="11"/>
      <c r="D294" s="10"/>
      <c r="E294" s="13"/>
      <c r="F294" s="15"/>
      <c r="G294" s="7"/>
      <c r="H294" s="5"/>
      <c r="I294" s="7"/>
      <c r="J294" s="7"/>
      <c r="K294" s="7"/>
      <c r="L294" s="5"/>
      <c r="M294" s="7"/>
      <c r="N294" s="7"/>
      <c r="O294" s="7"/>
      <c r="P294" s="7"/>
      <c r="Q294" s="1"/>
    </row>
    <row r="295" spans="1:17" x14ac:dyDescent="0.25">
      <c r="A295" s="8"/>
      <c r="B295" s="9"/>
      <c r="C295" s="10"/>
      <c r="D295" s="11"/>
      <c r="E295" s="13"/>
      <c r="F295" s="21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"/>
    </row>
    <row r="296" spans="1:17" x14ac:dyDescent="0.25">
      <c r="A296" s="12"/>
      <c r="B296" s="11"/>
      <c r="C296" s="11"/>
      <c r="D296" s="10"/>
      <c r="E296" s="13"/>
      <c r="F296" s="15"/>
      <c r="G296" s="7"/>
      <c r="H296" s="5"/>
      <c r="I296" s="7"/>
      <c r="J296" s="7"/>
      <c r="K296" s="7"/>
      <c r="L296" s="5"/>
      <c r="M296" s="18"/>
      <c r="N296" s="7"/>
      <c r="O296" s="13"/>
      <c r="P296" s="13"/>
      <c r="Q296" s="1"/>
    </row>
    <row r="297" spans="1:17" x14ac:dyDescent="0.25">
      <c r="A297" s="12"/>
      <c r="B297" s="11"/>
      <c r="C297" s="11"/>
      <c r="D297" s="10"/>
      <c r="E297" s="13"/>
      <c r="F297" s="15"/>
      <c r="G297" s="7"/>
      <c r="H297" s="5"/>
      <c r="I297" s="7"/>
      <c r="J297" s="7"/>
      <c r="K297" s="7"/>
      <c r="L297" s="5"/>
      <c r="M297" s="7"/>
      <c r="N297" s="7"/>
      <c r="O297" s="7"/>
      <c r="P297" s="13"/>
      <c r="Q297" s="1"/>
    </row>
    <row r="298" spans="1:17" x14ac:dyDescent="0.25">
      <c r="A298" s="12"/>
      <c r="B298" s="11"/>
      <c r="C298" s="11"/>
      <c r="D298" s="10"/>
      <c r="E298" s="13"/>
      <c r="F298" s="15"/>
      <c r="G298" s="7"/>
      <c r="H298" s="5"/>
      <c r="I298" s="7"/>
      <c r="J298" s="7"/>
      <c r="K298" s="7"/>
      <c r="L298" s="5"/>
      <c r="M298" s="7"/>
      <c r="N298" s="7"/>
      <c r="O298" s="7"/>
      <c r="P298" s="13"/>
      <c r="Q298" s="1"/>
    </row>
    <row r="299" spans="1:17" x14ac:dyDescent="0.25">
      <c r="A299" s="12"/>
      <c r="B299" s="11"/>
      <c r="C299" s="11"/>
      <c r="D299" s="10"/>
      <c r="E299" s="13"/>
      <c r="F299" s="15"/>
      <c r="G299" s="7"/>
      <c r="H299" s="5"/>
      <c r="I299" s="7"/>
      <c r="J299" s="7"/>
      <c r="K299" s="7"/>
      <c r="L299" s="5"/>
      <c r="M299" s="7"/>
      <c r="N299" s="7"/>
      <c r="O299" s="7"/>
      <c r="P299" s="13"/>
      <c r="Q299" s="1"/>
    </row>
    <row r="300" spans="1:17" x14ac:dyDescent="0.25">
      <c r="A300" s="8"/>
      <c r="B300" s="9"/>
      <c r="C300" s="10"/>
      <c r="D300" s="11"/>
      <c r="E300" s="13"/>
      <c r="F300" s="21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"/>
    </row>
    <row r="301" spans="1:17" x14ac:dyDescent="0.25">
      <c r="A301" s="12"/>
      <c r="B301" s="11"/>
      <c r="C301" s="11"/>
      <c r="D301" s="10"/>
      <c r="E301" s="13"/>
      <c r="F301" s="15"/>
      <c r="G301" s="7"/>
      <c r="H301" s="5"/>
      <c r="I301" s="7"/>
      <c r="J301" s="7"/>
      <c r="K301" s="7"/>
      <c r="L301" s="5"/>
      <c r="M301" s="7"/>
      <c r="N301" s="7"/>
      <c r="O301" s="7"/>
      <c r="P301" s="7"/>
      <c r="Q301" s="1"/>
    </row>
    <row r="302" spans="1:17" x14ac:dyDescent="0.25">
      <c r="A302" s="12"/>
      <c r="B302" s="11"/>
      <c r="C302" s="11"/>
      <c r="D302" s="10"/>
      <c r="E302" s="13"/>
      <c r="F302" s="15"/>
      <c r="G302" s="7"/>
      <c r="H302" s="5"/>
      <c r="I302" s="7"/>
      <c r="J302" s="7"/>
      <c r="K302" s="7"/>
      <c r="L302" s="5"/>
      <c r="M302" s="20"/>
      <c r="N302" s="7"/>
      <c r="O302" s="13"/>
      <c r="P302" s="13"/>
      <c r="Q302" s="1"/>
    </row>
    <row r="303" spans="1:17" x14ac:dyDescent="0.25">
      <c r="A303" s="12"/>
      <c r="B303" s="11"/>
      <c r="C303" s="11"/>
      <c r="D303" s="10"/>
      <c r="E303" s="13"/>
      <c r="F303" s="15"/>
      <c r="G303" s="7"/>
      <c r="H303" s="5"/>
      <c r="I303" s="7"/>
      <c r="J303" s="7"/>
      <c r="K303" s="7"/>
      <c r="L303" s="5"/>
      <c r="M303" s="20"/>
      <c r="N303" s="7"/>
      <c r="O303" s="13"/>
      <c r="P303" s="13"/>
      <c r="Q303" s="1"/>
    </row>
    <row r="304" spans="1:17" x14ac:dyDescent="0.25">
      <c r="A304" s="8"/>
      <c r="B304" s="9"/>
      <c r="C304" s="10"/>
      <c r="D304" s="11"/>
      <c r="E304" s="13"/>
      <c r="F304" s="21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"/>
    </row>
    <row r="305" spans="1:17" x14ac:dyDescent="0.25">
      <c r="A305" s="12"/>
      <c r="B305" s="11"/>
      <c r="C305" s="11"/>
      <c r="D305" s="10"/>
      <c r="E305" s="13"/>
      <c r="F305" s="15"/>
      <c r="G305" s="7"/>
      <c r="H305" s="5"/>
      <c r="I305" s="7"/>
      <c r="J305" s="7"/>
      <c r="K305" s="7"/>
      <c r="L305" s="5"/>
      <c r="M305" s="7"/>
      <c r="N305" s="7"/>
      <c r="O305" s="7"/>
      <c r="P305" s="7"/>
      <c r="Q305" s="1"/>
    </row>
    <row r="306" spans="1:17" x14ac:dyDescent="0.25">
      <c r="A306" s="12"/>
      <c r="B306" s="11"/>
      <c r="C306" s="11"/>
      <c r="D306" s="10"/>
      <c r="E306" s="13"/>
      <c r="F306" s="15"/>
      <c r="G306" s="7"/>
      <c r="H306" s="5"/>
      <c r="I306" s="7"/>
      <c r="J306" s="7"/>
      <c r="K306" s="7"/>
      <c r="L306" s="5"/>
      <c r="M306" s="20"/>
      <c r="N306" s="7"/>
      <c r="O306" s="13"/>
      <c r="P306" s="13"/>
      <c r="Q306" s="1"/>
    </row>
    <row r="307" spans="1:17" x14ac:dyDescent="0.25">
      <c r="A307" s="12"/>
      <c r="B307" s="11"/>
      <c r="C307" s="11"/>
      <c r="D307" s="10"/>
      <c r="E307" s="13"/>
      <c r="F307" s="15"/>
      <c r="G307" s="7"/>
      <c r="H307" s="5"/>
      <c r="I307" s="7"/>
      <c r="J307" s="7"/>
      <c r="K307" s="7"/>
      <c r="L307" s="5"/>
      <c r="M307" s="20"/>
      <c r="N307" s="7"/>
      <c r="O307" s="13"/>
      <c r="P307" s="13"/>
      <c r="Q307" s="1"/>
    </row>
  </sheetData>
  <mergeCells count="2">
    <mergeCell ref="H5:K5"/>
    <mergeCell ref="L5:O5"/>
  </mergeCells>
  <dataValidations count="2">
    <dataValidation type="list" allowBlank="1" showErrorMessage="1" sqref="L7:L131 L133:L143 H7:H307 L145:L307">
      <formula1>"Đạt,Không đạt,Ảnh hưởng,Không kiểm thử được,Cần confirm,Cần cải thiện"</formula1>
    </dataValidation>
    <dataValidation type="list" allowBlank="1" showErrorMessage="1" sqref="K7:K307 O7:O307">
      <formula1>"Đang kiểm tra,Đang fix,Retest,Chờ cập nhật,Hoàn thành,Reject,Đã phản hồi"</formula1>
    </dataValidation>
  </dataValidations>
  <hyperlinks>
    <hyperlink ref="E6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NGOQUY</cp:lastModifiedBy>
  <dcterms:modified xsi:type="dcterms:W3CDTF">2026-09-08T08:40:59Z</dcterms:modified>
</cp:coreProperties>
</file>