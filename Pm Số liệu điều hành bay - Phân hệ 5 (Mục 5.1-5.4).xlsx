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2026\QLB\TrienKhai\ATFM_WEB\"/>
    </mc:Choice>
  </mc:AlternateContent>
  <bookViews>
    <workbookView xWindow="0" yWindow="0" windowWidth="20490" windowHeight="7755"/>
  </bookViews>
  <sheets>
    <sheet name="Trang tính1" sheetId="1" r:id="rId1"/>
  </sheets>
  <calcPr calcId="152511"/>
</workbook>
</file>

<file path=xl/calcChain.xml><?xml version="1.0" encoding="utf-8"?>
<calcChain xmlns="http://schemas.openxmlformats.org/spreadsheetml/2006/main">
  <c r="K3" i="1" l="1"/>
  <c r="J3" i="1" s="1"/>
  <c r="H3" i="1"/>
  <c r="G3" i="1"/>
  <c r="F3" i="1"/>
  <c r="E3" i="1"/>
  <c r="D3" i="1"/>
  <c r="I3" i="1" s="1"/>
  <c r="O2" i="1"/>
  <c r="N2" i="1"/>
  <c r="M2" i="1"/>
  <c r="L2" i="1"/>
  <c r="K2" i="1"/>
  <c r="J2" i="1" s="1"/>
  <c r="H2" i="1"/>
  <c r="G2" i="1"/>
  <c r="F2" i="1"/>
  <c r="E2" i="1"/>
  <c r="D2" i="1"/>
  <c r="I2" i="1" s="1"/>
</calcChain>
</file>

<file path=xl/sharedStrings.xml><?xml version="1.0" encoding="utf-8"?>
<sst xmlns="http://schemas.openxmlformats.org/spreadsheetml/2006/main" count="418" uniqueCount="358">
  <si>
    <t>Đạt</t>
  </si>
  <si>
    <t>Không đạt</t>
  </si>
  <si>
    <t>Không kiểm thử được</t>
  </si>
  <si>
    <t>Cần confirm</t>
  </si>
  <si>
    <t>Ảnh hưởng</t>
  </si>
  <si>
    <t>Đã kiểm thử</t>
  </si>
  <si>
    <t>Còn lại/ Cần cải thiện</t>
  </si>
  <si>
    <t>Tổng tình huống kiểm thử</t>
  </si>
  <si>
    <t>Hoàn thành</t>
  </si>
  <si>
    <t>Reject</t>
  </si>
  <si>
    <t>Đang kiểm tra</t>
  </si>
  <si>
    <t>Đã phản hồi</t>
  </si>
  <si>
    <t>Lần 1</t>
  </si>
  <si>
    <t>Lần 2</t>
  </si>
  <si>
    <t>STT</t>
  </si>
  <si>
    <t>Tên Use case</t>
  </si>
  <si>
    <t>Tác nhân</t>
  </si>
  <si>
    <t>Giao dịch
 (Transaction)</t>
  </si>
  <si>
    <t>Mô tả các bước thực hiện kiểm thử</t>
  </si>
  <si>
    <t>Kết Quả Mong Đợi</t>
  </si>
  <si>
    <t>Kết Quả Thực tế</t>
  </si>
  <si>
    <t>VSD comment</t>
  </si>
  <si>
    <t>Tự động cập nhật dữ liệu từ email và thư mục lưu trữ</t>
  </si>
  <si>
    <t>Job hệ thống; Máy chủ thư điện tử; Hệ thống file; Quản trị viên; Người khai thác</t>
  </si>
  <si>
    <t>1. Job định thời kích hoạt quét theo chu kỳ (mặc định 5 phút/lần).
2. Kết nối hộp thư IMAP/POP3/Exchange và quét thư mục /data/incoming/.
3. Lấy email chưa đọc/file mới, tải file đính kèm về thư mục tạm.
4. Kiểm tra phần mở rộng, UTF-8, cấu trúc và kích thước; phân tích theo file mẫu/bảng ánh xạ.
5. Kiểm tra ràng buộc nghiệp vụ, cập nhật Oracle, lưu bản gốc và ghi audit log.
6. Di chuyển file theo kết quả xử lý và gửi cảnh báo khi có lỗi.</t>
  </si>
  <si>
    <t>File dữ liệu hợp lệ được chuẩn hóa và cập nhật Oracle trong giao dịch toàn vẹn; bản gốc lưu tại /processed/; audit log đầy đủ; lỗi định dạng vào /error/; vi phạm nghiệp vụ vào /quarantine/ kèm cảnh báo.</t>
  </si>
  <si>
    <t>Quét email và thư mục incoming</t>
  </si>
  <si>
    <t>Kích hoạt job; kết nối máy chủ thư điện tử; đọc email chưa đọc và phát hiện file mới trong /data/incoming/.</t>
  </si>
  <si>
    <t>Hệ thống nhận diện đúng file mới, thông tin tiêu đề/người gửi/thời gian và file đính kèm; không xử lý trùng lặp.</t>
  </si>
  <si>
    <t>Kiểm tra định dạng và phân tích cú pháp</t>
  </si>
  <si>
    <t>Nạp file CSV/XLSX/XML/JSON; kiểm tra phần mở rộng, mã UTF-8, cấu trúc, kích thước; đối chiếu file mẫu và bảng ánh xạ; kiểm tra ràng buộc nghiệp vụ.</t>
  </si>
  <si>
    <t>File hợp lệ được chuẩn hóa; file sai định dạng chuyển /error/ kèm .log WARNING; file vi phạm ràng buộc bị hủy giao dịch và chuyển /quarantine/.</t>
  </si>
  <si>
    <t>Cập nhật cơ sở dữ liệu và lưu trữ bản gốc</t>
  </si>
  <si>
    <t>Ghi dữ liệu đã chuẩn hóa vào Oracle; lưu file gốc; ghi nhật ký kiểm toán; đánh dấu email đã đọc.</t>
  </si>
  <si>
    <t>Dữ liệu cập nhật thành công với toàn vẹn giao dịch; file có tên chuẩn tại /processed/; audit log lưu tối thiểu 5 năm; gửi thông báo hoàn thành.</t>
  </si>
  <si>
    <t>Xử lý ngoại lệ và cảnh báo</t>
  </si>
  <si>
    <t>Mô phỏng file trùng, mất kết nối Oracle, máy chủ email không khả dụng và email không có file đính kèm.</t>
  </si>
  <si>
    <t>File trùng được bỏ qua và ghi log; lỗi DB thử lại tối đa 3 lần rồi cảnh báo CRITICAL; lỗi máy chủ email bỏ qua chu kỳ và cảnh báo sau 3 lần; email không đính kèm được ghi log.</t>
  </si>
  <si>
    <t>2</t>
  </si>
  <si>
    <t>Thu thập và xử lý dữ liệu ADS-B cho khai thác O/F</t>
  </si>
  <si>
    <t>Cổng ADS-B; Người khai thác ATFM; Job hệ thống; Quản trị viên</t>
  </si>
  <si>
    <t>1. Kết nối cổng ADS-B Gateway và nhận bản tin vị trí theo thời gian thực.
2. Phân tích, chuẩn hóa và lọc nhiễu bản tin.
3. Đối chiếu với FPL theo khóa tổng hợp; xác định trạng thái ENTRY/IN-FIR/EXIT trong FIR Hà Nội và Hồ Chí Minh.
4. Cập nhật trạng thái O/F, lưu trajectory, hiển thị bản đồ/bảng điều khiển và ghi log sự kiện.</t>
  </si>
  <si>
    <t>Dữ liệu O/F cập nhật thời gian thực với độ trễ ≤ 3 giây; trajectory được lưu; chuyến bay không đối chiếu được gắn UNKNOWN_FLIGHT và cảnh báo NOPERM; ghi đủ ENTRY/EXIT.</t>
  </si>
  <si>
    <t>Tiếp nhận và phân tích bản tin ADS-B</t>
  </si>
  <si>
    <t>Kết nối Gateway; nhận bản tin mỗi 1-2 giây; kiểm tra cấu trúc, chuẩn hóa dữ liệu và lọc bản tin nhiễu.</t>
  </si>
  <si>
    <t>Bản tin hợp lệ được xử lý liên tục; dữ liệu sai/ngoài FIR bị loại và ghi log; không làm gián đoạn luồng.</t>
  </si>
  <si>
    <t>Đối chiếu ADS-B với kế hoạch bay FPL</t>
  </si>
  <si>
    <t>Dùng khóa callsign + dep_icao + arr_icao + flight_date để đối chiếu bản tin với FPL.</t>
  </si>
  <si>
    <t>Đối chiếu một-một đúng bản tin/FPL; chuyến bay không khớp được gắn UNKNOWN_FLIGHT và phát cảnh báo NOPERM.</t>
  </si>
  <si>
    <t>Cập nhật trạng thái O/F và trajectory</t>
  </si>
  <si>
    <t>Xác định ENTRY/IN-FIR/EXIT; cập nhật trạng thái theo thời gian thực; lưu đường bay vào flight_trajectory; hiển thị bản đồ và dashboard.</t>
  </si>
  <si>
    <t>Trạng thái cập nhật đúng, độ trễ ≤ 3 giây; trajectory lưu tối thiểu 2 năm; log đầy đủ sự kiện ENTRY/EXIT.</t>
  </si>
  <si>
    <t>Xử lý mất kết nối, mất tín hiệu và xung đột</t>
  </si>
  <si>
    <t>Mô phỏng mất Gateway, gián đoạn đường bay &gt;30 giây, trùng callsign và dữ liệu ngoài FIR Việt Nam.</t>
  </si>
  <si>
    <t>Tự động nối lại có backoff và banner; gắn TRACK_LOST/giữ vị trí cuối; ưu tiên FPL nộp gần nhất; dữ liệu ngoài FIR bị loại và ghi thống kê.</t>
  </si>
  <si>
    <t>3</t>
  </si>
  <si>
    <t>Kết nối trực tiếp AMHS để gửi/nhận điện văn</t>
  </si>
  <si>
    <t>Cổng AMHS; Quản trị viên; Người khai thác</t>
  </si>
  <si>
    <t>1. Kết nối trực tiếp cơ sở dữ liệu AMHS qua Gateway.
2. Luồng inbound truy vấn điện văn mới, phân tích AFTN theo ICAO và cập nhật trạng thái chuyến bay.
3. Luồng outbound chọn chuyến bay/loại điện văn, sinh theo mẫu ICAO, kiểm tra cú pháp và đẩy sang AMHS.
4. Ghi audit log, xác nhận gửi và xử lý lỗi/quarantine.</t>
  </si>
  <si>
    <t>Điện văn đến cập nhật trạng thái ≤ 5 giây; điện văn đi đúng chuẩn ICAO và có xác nhận; toàn bộ điện văn/audit log được lưu; lỗi vào /quarantine/ và cảnh báo.</t>
  </si>
  <si>
    <t>Nhận và phân tích điện văn AMHS (inbound)</t>
  </si>
  <si>
    <t>Job truy vấn AMHS mỗi 1-5 giây; lấy lô điện văn FPL/DEP/ARR/CHG/CNL/DLA; phân tích cú pháp ICAO và trích xuất dữ liệu.</t>
  </si>
  <si>
    <t>Điện văn hợp lệ được xác thực, cập nhật trạng thái chuyến bay trong ≤ 5 giây; message_id, loại, callsign, hướng, thời gian được ghi log.</t>
  </si>
  <si>
    <t>Sinh và gửi điện văn AMHS (outbound)</t>
  </si>
  <si>
    <t>Người khai thác chọn chuyến bay và loại điện văn; hệ thống tự điền dữ liệu theo template ICAO, kiểm tra cú pháp rồi ghi vào AMHS.</t>
  </si>
  <si>
    <t>Điện văn đúng Doc 4444/4445, gửi thành công kèm xác nhận; trạng thái và audit log được cập nhật.</t>
  </si>
  <si>
    <t>Bảo mật, lưu trữ và kiểm soát tải</t>
  </si>
  <si>
    <t>Kiểm tra TLS 1.3/X.509, mã hóa AES-256 khi lưu, quyền ADMIN_AMHS_CONFIG và tải 5.000 bản tin/giờ (đỉnh 10.000).</t>
  </si>
  <si>
    <t>Kết nối bảo mật, người không đủ quyền bị từ chối; dữ liệu lưu tối thiểu 60 ngày; hệ thống đáp ứng thông lượng yêu cầu.</t>
  </si>
  <si>
    <t>Xử lý mất kết nối, sai cú pháp và trùng điện văn</t>
  </si>
  <si>
    <t>Mô phỏng mất AMHS, điện văn sai ICAO, chứng chỉ hết hạn, điện văn trùng và AMHS quá tải.</t>
  </si>
  <si>
    <t>Xếp hàng và tự kết nối lại; sai cú pháp chuyển /quarantine/ và cảnh báo; cảnh báo chứng chỉ trước 30 ngày; trùng trong 24 giờ bỏ qua; giới hạn tốc độ theo hàng đợi ưu tiên.</t>
  </si>
  <si>
    <t>4</t>
  </si>
  <si>
    <t>Tích hợp lọc SLOT vào hệ thống SLB</t>
  </si>
  <si>
    <t>Hệ thống SLOT Cục Hàng không; Nhân viên kế hoạch; Người khai thác ATFM; Quản trị viên</t>
  </si>
  <si>
    <t>1. Đồng bộ dữ liệu SLOT từ Cục Hàng không định kỳ 15 phút.
2. Nhập KHBN và kích hoạt kiểm tra.
3. Đối chiếu SLOT với KHBN hãng và KHBN theo phép bay.
4. Phát hiện trùng, không khả dụng, lệch giờ, chuyến bay không thực hiện.
5. Cập nhật trạng thái, cảnh báo xung đột và đề xuất điều chỉnh.</t>
  </si>
  <si>
    <t>Mỗi chuyến bay có trạng thái SLOT chính xác (MATCHED/SLOT_MISSING/TIME_CONFLICT/NOT_OPERATED); cảnh báo xung đột trên dashboard/email và đề xuất điều chỉnh.</t>
  </si>
  <si>
    <t>Đồng bộ dữ liệu SLOT định kỳ</t>
  </si>
  <si>
    <t>Chạy bộ định thời hoặc mở màn hình kiểm tra; gọi API/file Cục Hàng không mỗi 15 phút; xác thực dữ liệu.</t>
  </si>
  <si>
    <t>Dữ liệu SLOT được đồng bộ đầy đủ, đúng chu kỳ, không trùng và có nhật ký đồng bộ.</t>
  </si>
  <si>
    <t>Đối chiếu ba nguồn kế hoạch</t>
  </si>
  <si>
    <t>Nạp SLOT đã cấp, KHBN hãng và KHBN theo phép bay; ghép theo chuyến bay, ngày và mã liên quan.</t>
  </si>
  <si>
    <t>Kết quả đối chiếu xác định đúng SLOT hợp lệ/thiếu và chênh lệch giữa ba nguồn.</t>
  </si>
  <si>
    <t>Phân loại xung đột và trạng thái SLOT</t>
  </si>
  <si>
    <t>Tạo dữ liệu trùng SLOT, SLOT không khả dụng, lệch giờ và chuyến bay không thực hiện.</t>
  </si>
  <si>
    <t>Hệ thống gắn đúng MATCHED, SLOT_MISSING, TIME_CONFLICT hoặc NOT_OPERATED; không ghi đè dữ liệu nguồn.</t>
  </si>
  <si>
    <t>Cảnh báo và đề xuất điều chỉnh</t>
  </si>
  <si>
    <t>Kiểm tra màn hình/dashboard và email khi phát hiện xung đột; thử thao tác đề xuất điều chỉnh.</t>
  </si>
  <si>
    <t>Cảnh báo hiển thị đúng đối tượng, đầy đủ chi tiết; đề xuất điều chỉnh giúp điều phối viên xử lý và ghi audit log.</t>
  </si>
  <si>
    <t>5</t>
  </si>
  <si>
    <t>Chuẩn hóa API chia sẻ dữ liệu</t>
  </si>
  <si>
    <t>Hệ thống bên ngoài; Quản trị viên; Nhóm phát triển đối tác</t>
  </si>
  <si>
    <t>1. Đăng ký client và cấp thông tin xác thực.
2. Gọi API REST qua HTTPS theo tài liệu OpenAPI 3.0 bằng OAuth2/JWT/API Key.
3. Truy vấn dữ liệu chuyến bay, kế hoạch bay, thống kê với tham số JSON.
4. Kiểm tra phân quyền phạm vi, giới hạn tốc độ và định dạng phản hồi.
5. Ghi audit log toàn bộ truy cập và xử lý lỗi.</t>
  </si>
  <si>
    <t>API thống nhất, phản hồi đúng schema OpenAPI 3.0; xác thực/phân quyền hoạt động; giới hạn tốc độ theo client; mọi truy cập được audit.</t>
  </si>
  <si>
    <t>Xác thực và cấp quyền API</t>
  </si>
  <si>
    <t>Gửi request HTTPS với Bearer JWT/API Key hợp lệ, hết hạn, sai chữ ký và scope không đủ.</t>
  </si>
  <si>
    <t>Token hợp lệ được truy cập đúng phạm vi; token sai/hết hạn hoặc thiếu scope trả lỗi 401/403, không lộ dữ liệu.</t>
  </si>
  <si>
    <t>Truy vấn và chuẩn hóa phản hồi</t>
  </si>
  <si>
    <t>Gọi endpoint dữ liệu chuyến bay/kế hoạch/thống kê với tham số JSON hợp lệ, thiếu và sai kiểu.</t>
  </si>
  <si>
    <t>Phản hồi JSON đúng schema, mã HTTP và thông báo lỗi nhất quán; tham số không hợp lệ bị từ chối an toàn.</t>
  </si>
  <si>
    <t>Giới hạn tốc độ và kiểm soát tải</t>
  </si>
  <si>
    <t>Gửi số request vượt ngưỡng của một client trong khoảng thời gian cấu hình.</t>
  </si>
  <si>
    <t>API áp dụng rate limit theo client, trả HTTP 429 khi vượt ngưỡng và không ảnh hưởng client khác.</t>
  </si>
  <si>
    <t>Audit log và xử lý sự cố API</t>
  </si>
  <si>
    <t>Kiểm tra log với request thành công/thất bại; mô phỏng API lỗi, timeout và truy vấn không có dữ liệu.</t>
  </si>
  <si>
    <t>Audit log ghi user/client, endpoint, thời gian, kết quả; lỗi trả thông báo chuẩn, không có dữ liệu trả rỗng; không rò rỉ thông tin nhạy cảm.</t>
  </si>
  <si>
    <t>6</t>
  </si>
  <si>
    <t>Hệ thống cảnh báo thông minh đa kịch bản</t>
  </si>
  <si>
    <t>Công cụ quy tắc; Quản trị viên; Người khai thác</t>
  </si>
  <si>
    <t>1. Cấu hình bộ quy tắc và kênh thông báo.
2. Phát sinh sự kiện bất thường.
3. Bộ xử lý sự kiện phức hợp đánh giá điều kiện và mức độ.
4. Gửi cảnh báo đa kênh, cập nhật trạng thái xử lý và ghi log.</t>
  </si>
  <si>
    <t>Cảnh báo đúng kịch bản/mức độ, gửi đúng kênh, chống lặp; trạng thái được cập nhật và truy vết đầy đủ.</t>
  </si>
  <si>
    <t>Cấu hình quy tắc và kênh cảnh báo</t>
  </si>
  <si>
    <t>Quản trị viên tạo/bật/tắt quy tắc, đặt ngưỡng, mức độ và kênh dashboard/email/SMS.</t>
  </si>
  <si>
    <t>Quy tắc lưu đúng phiên bản; chỉ người có quyền được cấu hình; kênh gửi hoạt động theo cấu hình.</t>
  </si>
  <si>
    <t>Phát hiện và đánh giá sự kiện</t>
  </si>
  <si>
    <t>Phát sinh các sự kiện vượt ngưỡng, chuỗi sự kiện và sự kiện trùng trong thời gian ngắn.</t>
  </si>
  <si>
    <t>Hệ thống phát hiện theo thời gian thực, gộp sự kiện đúng điều kiện, xác định đúng mức cảnh báo và không gửi lặp ngoài chính sách.</t>
  </si>
  <si>
    <t>Gửi, tiếp nhận và xử lý cảnh báo</t>
  </si>
  <si>
    <t>Kiểm tra cảnh báo trên dashboard/email/SMS; người khai thác xác nhận, phân công và đóng cảnh báo.</t>
  </si>
  <si>
    <t>Cảnh báo đến đúng người/nhóm; trạng thái New-Acknowledged-In progress-Resolved được ghi nhận; toàn bộ thao tác có audit log.</t>
  </si>
  <si>
    <t>Xử lý lỗi và chống bão cảnh báo</t>
  </si>
  <si>
    <t>Mô phỏng kênh thông báo lỗi, dịch vụ không khả dụng và số lượng cảnh báo tăng đột biến.</t>
  </si>
  <si>
    <t>Có retry/fallback, lưu hàng đợi khi cần; cảnh báo được gom/giới hạn tần suất; quản trị viên nhận thông báo lỗi.</t>
  </si>
  <si>
    <t>7</t>
  </si>
  <si>
    <t>Quản lý thông tin KHB quân sự và sử dụng vùng trời</t>
  </si>
  <si>
    <t>Người khai thác ATFM/QLB; Quản trị viên; Cấp phê duyệt</t>
  </si>
  <si>
    <t>1. Nhập KHB quân sự và thông tin vùng trời.
2. Kiểm tra quyền, phê duyệt và đồng bộ dữ liệu.
3. Đối chiếu với chuyến bay dân sự để phát hiện xung đột vùng trời.
4. Cảnh báo, ghi nhận xử lý và bảo vệ dữ liệu nhạy cảm.</t>
  </si>
  <si>
    <t>KHB quân sự được nhập/phê duyệt đúng quyền, đồng bộ an toàn; xung đột vùng trời được phát hiện/cảnh báo; dữ liệu được bảo mật và audit.</t>
  </si>
  <si>
    <t>Nhập và phê duyệt KHB quân sự</t>
  </si>
  <si>
    <t>Người khai thác nhập KHB; cấp phê duyệt xem xét và phê duyệt/từ chối theo quy trình.</t>
  </si>
  <si>
    <t>Dữ liệu hợp lệ được lưu; người không đủ quyền bị từ chối; lịch sử phê duyệt và lý do được ghi log.</t>
  </si>
  <si>
    <t>Cấu hình vùng trời và phân quyền</t>
  </si>
  <si>
    <t>Quản trị viên cấu hình vùng trời dùng chung, clearance level và vai trò truy cập.</t>
  </si>
  <si>
    <t>Chỉ tài khoản đúng clearance truy cập dữ liệu; thay đổi cấu hình có hiệu lực đúng phạm vi và audit.</t>
  </si>
  <si>
    <t>Đồng bộ và đối chiếu quân-dân sự</t>
  </si>
  <si>
    <t>Đồng bộ KHB quân sự với dữ liệu chuyến bay dân sự; tạo lịch bay giao cắt vùng trời/thời gian.</t>
  </si>
  <si>
    <t>Hệ thống phát hiện đúng xung đột, hiển thị chi tiết trên dashboard và không làm lộ dữ liệu ngoài phạm vi.</t>
  </si>
  <si>
    <t>Cảnh báo và xử lý xung đột vùng trời</t>
  </si>
  <si>
    <t>Mô phỏng xung đột, KHB bị hủy/sửa và truy cập trái phép dữ liệu quân sự.</t>
  </si>
  <si>
    <t>Cảnh báo gửi đúng đối tượng; dữ liệu được cập nhật/thu hồi nhất quán; truy cập trái phép bị chặn và ghi sự kiện bảo mật.</t>
  </si>
  <si>
    <t>3.1</t>
  </si>
  <si>
    <t>MỞ RỘNG THỜI GIAN LƯU TRỮ ĐIỆN VĂN INBOX</t>
  </si>
  <si>
    <t>Người khai thác ATFM/QLB; Quản trị viên</t>
  </si>
  <si>
    <t>Kiểm thử chức năng: MỞ RỘNG THỜI GIAN LƯU TRỮ ĐIỆN VĂN INBOX</t>
  </si>
  <si>
    <t>1. Mở chức năng và chuẩn bị dữ liệu kiểm thử liên quan đến: MỞ RỘNG THỜI GIAN LƯU TRỮ ĐIỆN VĂN INBOX.
2. Thực hiện thao tác theo yêu cầu nghiệp vụ, gồm cả trường hợp hợp lệ và ngoại lệ.
3. Kiểm tra dữ liệu hiển thị, trạng thái xử lý, thông báo và nhật ký.</t>
  </si>
  <si>
    <t>Hệ thống thực hiện đúng chức năng MỞ RỘNG THỜI GIAN LƯU TRỮ ĐIỆN VĂN INBOX; dữ liệu và trạng thái được cập nhật nhất quán, kết quả hiển thị đúng, lỗi được cảnh báo/xử lý an toàn và thao tác được ghi audit log.</t>
  </si>
  <si>
    <t>3.2</t>
  </si>
  <si>
    <t>CẢNH BÁO NOPERM CHO ĐIỆN VĂN KHÔNG CÓ TRONG KHBN</t>
  </si>
  <si>
    <t>Kiểm thử chức năng: CẢNH BÁO NOPERM CHO ĐIỆN VĂN KHÔNG CÓ TRONG KHBN</t>
  </si>
  <si>
    <t>1. Mở chức năng và chuẩn bị dữ liệu kiểm thử liên quan đến: CẢNH BÁO NOPERM CHO ĐIỆN VĂN KHÔNG CÓ TRONG KHBN.
2. Thực hiện thao tác theo yêu cầu nghiệp vụ, gồm cả trường hợp hợp lệ và ngoại lệ.
3. Kiểm tra dữ liệu hiển thị, trạng thái xử lý, thông báo và nhật ký.</t>
  </si>
  <si>
    <t>Hệ thống thực hiện đúng chức năng CẢNH BÁO NOPERM CHO ĐIỆN VĂN KHÔNG CÓ TRONG KHBN; dữ liệu và trạng thái được cập nhật nhất quán, kết quả hiển thị đúng, lỗi được cảnh báo/xử lý an toàn và thao tác được ghi audit log.</t>
  </si>
  <si>
    <t>3.3</t>
  </si>
  <si>
    <t>ÁP DỤNG QUY TẮC 120H ICAO CHO HIỂN THỊ FPL</t>
  </si>
  <si>
    <t>Kiểm thử chức năng: ÁP DỤNG QUY TẮC 120H ICAO CHO HIỂN THỊ FPL</t>
  </si>
  <si>
    <t>1. Mở chức năng và chuẩn bị dữ liệu kiểm thử liên quan đến: ÁP DỤNG QUY TẮC 120H ICAO CHO HIỂN THỊ FPL.
2. Thực hiện thao tác theo yêu cầu nghiệp vụ, gồm cả trường hợp hợp lệ và ngoại lệ.
3. Kiểm tra dữ liệu hiển thị, trạng thái xử lý, thông báo và nhật ký.</t>
  </si>
  <si>
    <t>Hệ thống thực hiện đúng chức năng ÁP DỤNG QUY TẮC 120H ICAO CHO HIỂN THỊ FPL; dữ liệu và trạng thái được cập nhật nhất quán, kết quả hiển thị đúng, lỗi được cảnh báo/xử lý an toàn và thao tác được ghi audit log.</t>
  </si>
  <si>
    <t>3.4</t>
  </si>
  <si>
    <t>TÌM KIẾM CHUYẾN BAY ĐA TRƯỜNG, HỖ TRỢ TÌM KIẾM THEO TỪ KHÓA</t>
  </si>
  <si>
    <t>Kiểm thử chức năng: TÌM KIẾM CHUYẾN BAY ĐA TRƯỜNG, HỖ TRỢ TÌM KIẾM THEO TỪ KHÓA</t>
  </si>
  <si>
    <t>1. Mở chức năng và chuẩn bị dữ liệu kiểm thử liên quan đến: TÌM KIẾM CHUYẾN BAY ĐA TRƯỜNG, HỖ TRỢ TÌM KIẾM THEO TỪ KHÓA.
2. Thực hiện thao tác theo yêu cầu nghiệp vụ, gồm cả trường hợp hợp lệ và ngoại lệ.
3. Kiểm tra dữ liệu hiển thị, trạng thái xử lý, thông báo và nhật ký.</t>
  </si>
  <si>
    <t>Hệ thống thực hiện đúng chức năng TÌM KIẾM CHUYẾN BAY ĐA TRƯỜNG, HỖ TRỢ TÌM KIẾM THEO TỪ KHÓA; dữ liệu và trạng thái được cập nhật nhất quán, kết quả hiển thị đúng, lỗi được cảnh báo/xử lý an toàn và thao tác được ghi audit log.</t>
  </si>
  <si>
    <t>3.5</t>
  </si>
  <si>
    <t>TÌM KIẾM NÂNG CAO PHỤC VỤ BÁO CÁO</t>
  </si>
  <si>
    <t>Kiểm thử chức năng: TÌM KIẾM NÂNG CAO PHỤC VỤ BÁO CÁO</t>
  </si>
  <si>
    <t>1. Mở chức năng và chuẩn bị dữ liệu kiểm thử liên quan đến: TÌM KIẾM NÂNG CAO PHỤC VỤ BÁO CÁO.
2. Thực hiện thao tác theo yêu cầu nghiệp vụ, gồm cả trường hợp hợp lệ và ngoại lệ.
3. Kiểm tra dữ liệu hiển thị, trạng thái xử lý, thông báo và nhật ký.</t>
  </si>
  <si>
    <t>Hệ thống thực hiện đúng chức năng TÌM KIẾM NÂNG CAO PHỤC VỤ BÁO CÁO; dữ liệu và trạng thái được cập nhật nhất quán, kết quả hiển thị đúng, lỗi được cảnh báo/xử lý an toàn và thao tác được ghi audit log.</t>
  </si>
  <si>
    <t>3.6</t>
  </si>
  <si>
    <t>PHÂN LOẠI CHUYẾN BAY QUỐC NỘI/QUỐC TẾ TỰ ĐỘNG</t>
  </si>
  <si>
    <t>Kiểm thử chức năng: PHÂN LOẠI CHUYẾN BAY QUỐC NỘI/QUỐC TẾ TỰ ĐỘNG</t>
  </si>
  <si>
    <t>1. Mở chức năng và chuẩn bị dữ liệu kiểm thử liên quan đến: PHÂN LOẠI CHUYẾN BAY QUỐC NỘI/QUỐC TẾ TỰ ĐỘNG.
2. Thực hiện thao tác theo yêu cầu nghiệp vụ, gồm cả trường hợp hợp lệ và ngoại lệ.
3. Kiểm tra dữ liệu hiển thị, trạng thái xử lý, thông báo và nhật ký.</t>
  </si>
  <si>
    <t>Hệ thống thực hiện đúng chức năng PHÂN LOẠI CHUYẾN BAY QUỐC NỘI/QUỐC TẾ TỰ ĐỘNG; dữ liệu và trạng thái được cập nhật nhất quán, kết quả hiển thị đúng, lỗi được cảnh báo/xử lý an toàn và thao tác được ghi audit log.</t>
  </si>
  <si>
    <t>3.7</t>
  </si>
  <si>
    <t>EXPORT DỮ LIỆU CHIA TÁCH 3 LOẠI FILE (ALL, LD, OF)</t>
  </si>
  <si>
    <t>Kiểm thử chức năng: EXPORT DỮ LIỆU CHIA TÁCH 3 LOẠI FILE (ALL, LD, OF)</t>
  </si>
  <si>
    <t>1. Mở chức năng và chuẩn bị dữ liệu kiểm thử liên quan đến: EXPORT DỮ LIỆU CHIA TÁCH 3 LOẠI FILE (ALL, LD, OF).
2. Thực hiện thao tác theo yêu cầu nghiệp vụ, gồm cả trường hợp hợp lệ và ngoại lệ.
3. Kiểm tra dữ liệu hiển thị, trạng thái xử lý, thông báo và nhật ký.</t>
  </si>
  <si>
    <t>Hệ thống thực hiện đúng chức năng EXPORT DỮ LIỆU CHIA TÁCH 3 LOẠI FILE (ALL, LD, OF); dữ liệu và trạng thái được cập nhật nhất quán, kết quả hiển thị đúng, lỗi được cảnh báo/xử lý an toàn và thao tác được ghi audit log.</t>
  </si>
  <si>
    <t>3.8</t>
  </si>
  <si>
    <t>CHỈNH SỬA THÔNG TIN CHUYẾN BAY</t>
  </si>
  <si>
    <t>Kiểm thử chức năng: CHỈNH SỬA THÔNG TIN CHUYẾN BAY</t>
  </si>
  <si>
    <t>1. Mở chức năng và chuẩn bị dữ liệu kiểm thử liên quan đến: CHỈNH SỬA THÔNG TIN CHUYẾN BAY.
2. Thực hiện thao tác theo yêu cầu nghiệp vụ, gồm cả trường hợp hợp lệ và ngoại lệ.
3. Kiểm tra dữ liệu hiển thị, trạng thái xử lý, thông báo và nhật ký.</t>
  </si>
  <si>
    <t>Hệ thống thực hiện đúng chức năng CHỈNH SỬA THÔNG TIN CHUYẾN BAY; dữ liệu và trạng thái được cập nhật nhất quán, kết quả hiển thị đúng, lỗi được cảnh báo/xử lý an toàn và thao tác được ghi audit log.</t>
  </si>
  <si>
    <t>3.9</t>
  </si>
  <si>
    <t>HIỂN THỊ LỊCH SỬ THAO TÁC CỦA NGƯỜI XỬ LÝ CHUYẾN BAY</t>
  </si>
  <si>
    <t>Kiểm thử chức năng: HIỂN THỊ LỊCH SỬ THAO TÁC CỦA NGƯỜI XỬ LÝ CHUYẾN BAY</t>
  </si>
  <si>
    <t>1. Mở chức năng và chuẩn bị dữ liệu kiểm thử liên quan đến: HIỂN THỊ LỊCH SỬ THAO TÁC CỦA NGƯỜI XỬ LÝ CHUYẾN BAY.
2. Thực hiện thao tác theo yêu cầu nghiệp vụ, gồm cả trường hợp hợp lệ và ngoại lệ.
3. Kiểm tra dữ liệu hiển thị, trạng thái xử lý, thông báo và nhật ký.</t>
  </si>
  <si>
    <t>Hệ thống thực hiện đúng chức năng HIỂN THỊ LỊCH SỬ THAO TÁC CỦA NGƯỜI XỬ LÝ CHUYẾN BAY; dữ liệu và trạng thái được cập nhật nhất quán, kết quả hiển thị đúng, lỗi được cảnh báo/xử lý an toàn và thao tác được ghi audit log.</t>
  </si>
  <si>
    <t>ĐỒNG BỘ DỮ LIỆU ĐIỆN VĂN LIÊN NGÀY (DEP CUỐI NGÀY → ARR HÔM SAU)</t>
  </si>
  <si>
    <t>Kiểm thử chức năng: ĐỒNG BỘ DỮ LIỆU ĐIỆN VĂN LIÊN NGÀY (DEP CUỐI NGÀY → ARR HÔM SAU)</t>
  </si>
  <si>
    <t>1. Mở chức năng và chuẩn bị dữ liệu kiểm thử liên quan đến: ĐỒNG BỘ DỮ LIỆU ĐIỆN VĂN LIÊN NGÀY (DEP CUỐI NGÀY → ARR HÔM SAU).
2. Thực hiện thao tác theo yêu cầu nghiệp vụ, gồm cả trường hợp hợp lệ và ngoại lệ.
3. Kiểm tra dữ liệu hiển thị, trạng thái xử lý, thông báo và nhật ký.</t>
  </si>
  <si>
    <t>Hệ thống thực hiện đúng chức năng ĐỒNG BỘ DỮ LIỆU ĐIỆN VĂN LIÊN NGÀY (DEP CUỐI NGÀY → ARR HÔM SAU); dữ liệu và trạng thái được cập nhật nhất quán, kết quả hiển thị đúng, lỗi được cảnh báo/xử lý an toàn và thao tác được ghi audit log.</t>
  </si>
  <si>
    <t>4.1</t>
  </si>
  <si>
    <t>THỐNG KÊ THEO KHUNG GIỜ/CHẶNG/ĐƯỜNG BAY</t>
  </si>
  <si>
    <t>Kiểm thử chức năng: THỐNG KÊ THEO KHUNG GIỜ/CHẶNG/ĐƯỜNG BAY</t>
  </si>
  <si>
    <t>1. Mở chức năng và chuẩn bị dữ liệu kiểm thử liên quan đến: THỐNG KÊ THEO KHUNG GIỜ/CHẶNG/ĐƯỜNG BAY.
2. Thực hiện thao tác theo yêu cầu nghiệp vụ, gồm cả trường hợp hợp lệ và ngoại lệ.
3. Kiểm tra dữ liệu hiển thị, trạng thái xử lý, thông báo và nhật ký.</t>
  </si>
  <si>
    <t>Hệ thống thực hiện đúng chức năng THỐNG KÊ THEO KHUNG GIỜ/CHẶNG/ĐƯỜNG BAY; dữ liệu và trạng thái được cập nhật nhất quán, kết quả hiển thị đúng, lỗi được cảnh báo/xử lý an toàn và thao tác được ghi audit log.</t>
  </si>
  <si>
    <t>4.2</t>
  </si>
  <si>
    <t>CẢNH BÁO CHUYẾN BAY KHÔNG CÓ TRONG PHÉP BAY/KHB NGÀY</t>
  </si>
  <si>
    <t>Kiểm thử chức năng: CẢNH BÁO CHUYẾN BAY KHÔNG CÓ TRONG PHÉP BAY/KHB NGÀY</t>
  </si>
  <si>
    <t>1. Mở chức năng và chuẩn bị dữ liệu kiểm thử liên quan đến: CẢNH BÁO CHUYẾN BAY KHÔNG CÓ TRONG PHÉP BAY/KHB NGÀY.
2. Thực hiện thao tác theo yêu cầu nghiệp vụ, gồm cả trường hợp hợp lệ và ngoại lệ.
3. Kiểm tra dữ liệu hiển thị, trạng thái xử lý, thông báo và nhật ký.</t>
  </si>
  <si>
    <t>Hệ thống thực hiện đúng chức năng CẢNH BÁO CHUYẾN BAY KHÔNG CÓ TRONG PHÉP BAY/KHB NGÀY; dữ liệu và trạng thái được cập nhật nhất quán, kết quả hiển thị đúng, lỗi được cảnh báo/xử lý an toàn và thao tác được ghi audit log.</t>
  </si>
  <si>
    <t>4.3</t>
  </si>
  <si>
    <t>HỖ TRỢ HỦY PHÉP BAY QUỐC TẾ/QUỐC NỘI</t>
  </si>
  <si>
    <t>Kiểm thử chức năng: HỖ TRỢ HỦY PHÉP BAY QUỐC TẾ/QUỐC NỘI</t>
  </si>
  <si>
    <t>1. Mở chức năng và chuẩn bị dữ liệu kiểm thử liên quan đến: HỖ TRỢ HỦY PHÉP BAY QUỐC TẾ/QUỐC NỘI.
2. Thực hiện thao tác theo yêu cầu nghiệp vụ, gồm cả trường hợp hợp lệ và ngoại lệ.
3. Kiểm tra dữ liệu hiển thị, trạng thái xử lý, thông báo và nhật ký.</t>
  </si>
  <si>
    <t>Hệ thống thực hiện đúng chức năng HỖ TRỢ HỦY PHÉP BAY QUỐC TẾ/QUỐC NỘI; dữ liệu và trạng thái được cập nhật nhất quán, kết quả hiển thị đúng, lỗi được cảnh báo/xử lý an toàn và thao tác được ghi audit log.</t>
  </si>
  <si>
    <t>4.4</t>
  </si>
  <si>
    <t>TỐI ƯU HIỆU NĂNG EXPORT BRAVO (&lt; 3 PHÚT)</t>
  </si>
  <si>
    <t>Kiểm thử chức năng: TỐI ƯU HIỆU NĂNG EXPORT BRAVO (&lt; 3 PHÚT)</t>
  </si>
  <si>
    <t>1. Mở chức năng và chuẩn bị dữ liệu kiểm thử liên quan đến: TỐI ƯU HIỆU NĂNG EXPORT BRAVO (&lt; 3 PHÚT).
2. Thực hiện thao tác theo yêu cầu nghiệp vụ, gồm cả trường hợp hợp lệ và ngoại lệ.
3. Kiểm tra dữ liệu hiển thị, trạng thái xử lý, thông báo và nhật ký.</t>
  </si>
  <si>
    <t>Hệ thống thực hiện đúng chức năng TỐI ƯU HIỆU NĂNG EXPORT BRAVO (&lt; 3 PHÚT); dữ liệu và trạng thái được cập nhật nhất quán, kết quả hiển thị đúng, lỗi được cảnh báo/xử lý an toàn và thao tác được ghi audit log.</t>
  </si>
  <si>
    <t>4.5</t>
  </si>
  <si>
    <t>CHỨC NĂNG F8 "ÉP DÒNG" TRONG CALENDAR ACCEPTED</t>
  </si>
  <si>
    <t>Kiểm thử chức năng: CHỨC NĂNG F8 "ÉP DÒNG" TRONG CALENDAR ACCEPTED</t>
  </si>
  <si>
    <t>1. Mở chức năng và chuẩn bị dữ liệu kiểm thử liên quan đến: CHỨC NĂNG F8 "ÉP DÒNG" TRONG CALENDAR ACCEPTED.
2. Thực hiện thao tác theo yêu cầu nghiệp vụ, gồm cả trường hợp hợp lệ và ngoại lệ.
3. Kiểm tra dữ liệu hiển thị, trạng thái xử lý, thông báo và nhật ký.</t>
  </si>
  <si>
    <t>Hệ thống thực hiện đúng chức năng CHỨC NĂNG F8 "ÉP DÒNG" TRONG CALENDAR ACCEPTED; dữ liệu và trạng thái được cập nhật nhất quán, kết quả hiển thị đúng, lỗi được cảnh báo/xử lý an toàn và thao tác được ghi audit log.</t>
  </si>
  <si>
    <t>4.6</t>
  </si>
  <si>
    <t>TỐI ƯU GEN KHB NGÀY HÔM SAU RA AFTN (&lt; 3 PHÚT)</t>
  </si>
  <si>
    <t>Kiểm thử chức năng: TỐI ƯU GEN KHB NGÀY HÔM SAU RA AFTN (&lt; 3 PHÚT)</t>
  </si>
  <si>
    <t>1. Mở chức năng và chuẩn bị dữ liệu kiểm thử liên quan đến: TỐI ƯU GEN KHB NGÀY HÔM SAU RA AFTN (&lt; 3 PHÚT).
2. Thực hiện thao tác theo yêu cầu nghiệp vụ, gồm cả trường hợp hợp lệ và ngoại lệ.
3. Kiểm tra dữ liệu hiển thị, trạng thái xử lý, thông báo và nhật ký.</t>
  </si>
  <si>
    <t>Hệ thống thực hiện đúng chức năng TỐI ƯU GEN KHB NGÀY HÔM SAU RA AFTN (&lt; 3 PHÚT); dữ liệu và trạng thái được cập nhật nhất quán, kết quả hiển thị đúng, lỗi được cảnh báo/xử lý an toàn và thao tác được ghi audit log.</t>
  </si>
  <si>
    <t>4.7</t>
  </si>
  <si>
    <t>MỞ RỘNG PHẠM VI TRA CỨU INBOX (&gt; 7 NGÀY)</t>
  </si>
  <si>
    <t>Kiểm thử chức năng: MỞ RỘNG PHẠM VI TRA CỨU INBOX (&gt; 7 NGÀY)</t>
  </si>
  <si>
    <t>1. Mở chức năng và chuẩn bị dữ liệu kiểm thử liên quan đến: MỞ RỘNG PHẠM VI TRA CỨU INBOX (&gt; 7 NGÀY).
2. Thực hiện thao tác theo yêu cầu nghiệp vụ, gồm cả trường hợp hợp lệ và ngoại lệ.
3. Kiểm tra dữ liệu hiển thị, trạng thái xử lý, thông báo và nhật ký.</t>
  </si>
  <si>
    <t>Hệ thống thực hiện đúng chức năng MỞ RỘNG PHẠM VI TRA CỨU INBOX (&gt; 7 NGÀY); dữ liệu và trạng thái được cập nhật nhất quán, kết quả hiển thị đúng, lỗi được cảnh báo/xử lý an toàn và thao tác được ghi audit log.</t>
  </si>
  <si>
    <t>4.8</t>
  </si>
  <si>
    <t>TỰ ĐỘNG CẬP NHẬT KHI SỬA KHB ĐÃ BUILD</t>
  </si>
  <si>
    <t>Kiểm thử chức năng: TỰ ĐỘNG CẬP NHẬT KHI SỬA KHB ĐÃ BUILD</t>
  </si>
  <si>
    <t>1. Mở chức năng và chuẩn bị dữ liệu kiểm thử liên quan đến: TỰ ĐỘNG CẬP NHẬT KHI SỬA KHB ĐÃ BUILD.
2. Thực hiện thao tác theo yêu cầu nghiệp vụ, gồm cả trường hợp hợp lệ và ngoại lệ.
3. Kiểm tra dữ liệu hiển thị, trạng thái xử lý, thông báo và nhật ký.</t>
  </si>
  <si>
    <t>Hệ thống thực hiện đúng chức năng TỰ ĐỘNG CẬP NHẬT KHI SỬA KHB ĐÃ BUILD; dữ liệu và trạng thái được cập nhật nhất quán, kết quả hiển thị đúng, lỗi được cảnh báo/xử lý an toàn và thao tác được ghi audit log.</t>
  </si>
  <si>
    <t>4.9</t>
  </si>
  <si>
    <t>CẢNH BÁO CHUYẾN BAY CẤP SAI NGÀY BAY SO VỚI NGÀY BAY THỰC TẾ</t>
  </si>
  <si>
    <t>Kiểm thử chức năng: CẢNH BÁO CHUYẾN BAY CẤP SAI NGÀY BAY SO VỚI NGÀY BAY THỰC TẾ</t>
  </si>
  <si>
    <t>1. Mở chức năng và chuẩn bị dữ liệu kiểm thử liên quan đến: CẢNH BÁO CHUYẾN BAY CẤP SAI NGÀY BAY SO VỚI NGÀY BAY THỰC TẾ.
2. Thực hiện thao tác theo yêu cầu nghiệp vụ, gồm cả trường hợp hợp lệ và ngoại lệ.
3. Kiểm tra dữ liệu hiển thị, trạng thái xử lý, thông báo và nhật ký.</t>
  </si>
  <si>
    <t>Hệ thống thực hiện đúng chức năng CẢNH BÁO CHUYẾN BAY CẤP SAI NGÀY BAY SO VỚI NGÀY BAY THỰC TẾ; dữ liệu và trạng thái được cập nhật nhất quán, kết quả hiển thị đúng, lỗi được cảnh báo/xử lý an toàn và thao tác được ghi audit log.</t>
  </si>
  <si>
    <t>BỔ SUNG TRƯỜNG "MỤC ĐÍCH CHUYẾN BAY" TRONG KHB NGÀY</t>
  </si>
  <si>
    <t>Kiểm thử chức năng: BỔ SUNG TRƯỜNG "MỤC ĐÍCH CHUYẾN BAY" TRONG KHB NGÀY</t>
  </si>
  <si>
    <t>1. Mở chức năng và chuẩn bị dữ liệu kiểm thử liên quan đến: BỔ SUNG TRƯỜNG "MỤC ĐÍCH CHUYẾN BAY" TRONG KHB NGÀY.
2. Thực hiện thao tác theo yêu cầu nghiệp vụ, gồm cả trường hợp hợp lệ và ngoại lệ.
3. Kiểm tra dữ liệu hiển thị, trạng thái xử lý, thông báo và nhật ký.</t>
  </si>
  <si>
    <t>Hệ thống thực hiện đúng chức năng BỔ SUNG TRƯỜNG "MỤC ĐÍCH CHUYẾN BAY" TRONG KHB NGÀY; dữ liệu và trạng thái được cập nhật nhất quán, kết quả hiển thị đúng, lỗi được cảnh báo/xử lý an toàn và thao tác được ghi audit log.</t>
  </si>
  <si>
    <t>5.1</t>
  </si>
  <si>
    <t>LOGIC CẢNH BÁO "ĐỎ" CHÍNH XÁC CHO CHUYẾN BAY HẾT HIỆU LỰC</t>
  </si>
  <si>
    <t>Kiểm thử chức năng: LOGIC CẢNH BÁO "ĐỎ" CHÍNH XÁC CHO CHUYẾN BAY HẾT HIỆU LỰC</t>
  </si>
  <si>
    <t>1. Mở chức năng và chuẩn bị dữ liệu kiểm thử liên quan đến: LOGIC CẢNH BÁO "ĐỎ" CHÍNH XÁC CHO CHUYẾN BAY HẾT HIỆU LỰC.
2. Thực hiện thao tác theo yêu cầu nghiệp vụ, gồm cả trường hợp hợp lệ và ngoại lệ.
3. Kiểm tra dữ liệu hiển thị, trạng thái xử lý, thông báo và nhật ký.</t>
  </si>
  <si>
    <t>Hệ thống thực hiện đúng chức năng LOGIC CẢNH BÁO "ĐỎ" CHÍNH XÁC CHO CHUYẾN BAY HẾT HIỆU LỰC; dữ liệu và trạng thái được cập nhật nhất quán, kết quả hiển thị đúng, lỗi được cảnh báo/xử lý an toàn và thao tác được ghi audit log.</t>
  </si>
  <si>
    <t>5.2</t>
  </si>
  <si>
    <t>TỰ ĐỘNG CẬP NHẬT ĐƯỜNG BAY THEO ĐOẠN TỪ FPL THỰC TẾ</t>
  </si>
  <si>
    <t>Kiểm thử chức năng: TỰ ĐỘNG CẬP NHẬT ĐƯỜNG BAY THEO ĐOẠN TỪ FPL THỰC TẾ</t>
  </si>
  <si>
    <t>1. Mở chức năng và chuẩn bị dữ liệu kiểm thử liên quan đến: TỰ ĐỘNG CẬP NHẬT ĐƯỜNG BAY THEO ĐOẠN TỪ FPL THỰC TẾ.
2. Thực hiện thao tác theo yêu cầu nghiệp vụ, gồm cả trường hợp hợp lệ và ngoại lệ.
3. Kiểm tra dữ liệu hiển thị, trạng thái xử lý, thông báo và nhật ký.</t>
  </si>
  <si>
    <t>Hệ thống thực hiện đúng chức năng TỰ ĐỘNG CẬP NHẬT ĐƯỜNG BAY THEO ĐOẠN TỪ FPL THỰC TẾ; dữ liệu và trạng thái được cập nhật nhất quán, kết quả hiển thị đúng, lỗi được cảnh báo/xử lý an toàn và thao tác được ghi audit log.</t>
  </si>
  <si>
    <t>5.3</t>
  </si>
  <si>
    <t>TỰ ĐỘNG NHẬN DIỆN VÀ CHUYỂN NGÀY CHO CHUYẾN BAY QUỐC TẾ HẠ CÁNH HÔM SAU</t>
  </si>
  <si>
    <t>Kiểm thử chức năng: TỰ ĐỘNG NHẬN DIỆN VÀ CHUYỂN NGÀY CHO CHUYẾN BAY QUỐC TẾ HẠ CÁNH HÔM SAU</t>
  </si>
  <si>
    <t>1. Mở chức năng và chuẩn bị dữ liệu kiểm thử liên quan đến: TỰ ĐỘNG NHẬN DIỆN VÀ CHUYỂN NGÀY CHO CHUYẾN BAY QUỐC TẾ HẠ CÁNH HÔM SAU.
2. Thực hiện thao tác theo yêu cầu nghiệp vụ, gồm cả trường hợp hợp lệ và ngoại lệ.
3. Kiểm tra dữ liệu hiển thị, trạng thái xử lý, thông báo và nhật ký.</t>
  </si>
  <si>
    <t>Hệ thống thực hiện đúng chức năng TỰ ĐỘNG NHẬN DIỆN VÀ CHUYỂN NGÀY CHO CHUYẾN BAY QUỐC TẾ HẠ CÁNH HÔM SAU; dữ liệu và trạng thái được cập nhật nhất quán, kết quả hiển thị đúng, lỗi được cảnh báo/xử lý an toàn và thao tác được ghi audit log.</t>
  </si>
  <si>
    <t>5.4</t>
  </si>
  <si>
    <t>THEO DÕI KẾ HOẠCH BAY HÀNG NGÀY VỚI CẬP NHẬT LIÊN TỤC</t>
  </si>
  <si>
    <t>Kiểm thử chức năng: THEO DÕI KẾ HOẠCH BAY HÀNG NGÀY VỚI CẬP NHẬT LIÊN TỤC</t>
  </si>
  <si>
    <t>1. Mở chức năng và chuẩn bị dữ liệu kiểm thử liên quan đến: THEO DÕI KẾ HOẠCH BAY HÀNG NGÀY VỚI CẬP NHẬT LIÊN TỤC.
2. Thực hiện thao tác theo yêu cầu nghiệp vụ, gồm cả trường hợp hợp lệ và ngoại lệ.
3. Kiểm tra dữ liệu hiển thị, trạng thái xử lý, thông báo và nhật ký.</t>
  </si>
  <si>
    <t>Hệ thống thực hiện đúng chức năng THEO DÕI KẾ HOẠCH BAY HÀNG NGÀY VỚI CẬP NHẬT LIÊN TỤC; dữ liệu và trạng thái được cập nhật nhất quán, kết quả hiển thị đúng, lỗi được cảnh báo/xử lý an toàn và thao tác được ghi audit log.</t>
  </si>
  <si>
    <t>5.5</t>
  </si>
  <si>
    <t>THÔNG BÁO THỜI ĐIỂM NHẬN SỐ LIỆU BAY ĐI/ĐẾN TỪ TRUNG TÂM TBHĐB</t>
  </si>
  <si>
    <t>Kiểm thử chức năng: THÔNG BÁO THỜI ĐIỂM NHẬN SỐ LIỆU BAY ĐI/ĐẾN TỪ TRUNG TÂM TBHĐB</t>
  </si>
  <si>
    <t>1. Mở chức năng và chuẩn bị dữ liệu kiểm thử liên quan đến: THÔNG BÁO THỜI ĐIỂM NHẬN SỐ LIỆU BAY ĐI/ĐẾN TỪ TRUNG TÂM TBHĐB.
2. Thực hiện thao tác theo yêu cầu nghiệp vụ, gồm cả trường hợp hợp lệ và ngoại lệ.
3. Kiểm tra dữ liệu hiển thị, trạng thái xử lý, thông báo và nhật ký.</t>
  </si>
  <si>
    <t>Hệ thống thực hiện đúng chức năng THÔNG BÁO THỜI ĐIỂM NHẬN SỐ LIỆU BAY ĐI/ĐẾN TỪ TRUNG TÂM TBHĐB; dữ liệu và trạng thái được cập nhật nhất quán, kết quả hiển thị đúng, lỗi được cảnh báo/xử lý an toàn và thao tác được ghi audit log.</t>
  </si>
  <si>
    <t>5.6</t>
  </si>
  <si>
    <t>CẬP NHẬT SỐ LIỆU BAY TỪ SLB SANG BRAVO</t>
  </si>
  <si>
    <t>Kiểm thử chức năng: CẬP NHẬT SỐ LIỆU BAY TỪ SLB SANG BRAVO</t>
  </si>
  <si>
    <t>1. Mở chức năng và chuẩn bị dữ liệu kiểm thử liên quan đến: CẬP NHẬT SỐ LIỆU BAY TỪ SLB SANG BRAVO.
2. Thực hiện thao tác theo yêu cầu nghiệp vụ, gồm cả trường hợp hợp lệ và ngoại lệ.
3. Kiểm tra dữ liệu hiển thị, trạng thái xử lý, thông báo và nhật ký.</t>
  </si>
  <si>
    <t>Hệ thống thực hiện đúng chức năng CẬP NHẬT SỐ LIỆU BAY TỪ SLB SANG BRAVO; dữ liệu và trạng thái được cập nhật nhất quán, kết quả hiển thị đúng, lỗi được cảnh báo/xử lý an toàn và thao tác được ghi audit log.</t>
  </si>
  <si>
    <t>5.7</t>
  </si>
  <si>
    <t>KHẮC PHỤC LỖI NHẦM NGÀY SO VỚI THỰC TẾ</t>
  </si>
  <si>
    <t>Kiểm thử chức năng: KHẮC PHỤC LỖI NHẦM NGÀY SO VỚI THỰC TẾ</t>
  </si>
  <si>
    <t>1. Mở chức năng và chuẩn bị dữ liệu kiểm thử liên quan đến: KHẮC PHỤC LỖI NHẦM NGÀY SO VỚI THỰC TẾ.
2. Thực hiện thao tác theo yêu cầu nghiệp vụ, gồm cả trường hợp hợp lệ và ngoại lệ.
3. Kiểm tra dữ liệu hiển thị, trạng thái xử lý, thông báo và nhật ký.</t>
  </si>
  <si>
    <t>Hệ thống thực hiện đúng chức năng KHẮC PHỤC LỖI NHẦM NGÀY SO VỚI THỰC TẾ; dữ liệu và trạng thái được cập nhật nhất quán, kết quả hiển thị đúng, lỗi được cảnh báo/xử lý an toàn và thao tác được ghi audit log.</t>
  </si>
  <si>
    <t>5.8</t>
  </si>
  <si>
    <t>SỬA NHIỀU CHUYẾN BAY CÙNG NỘI DUNG TRONG MỘT THAO TÁC</t>
  </si>
  <si>
    <t>Kiểm thử chức năng: SỬA NHIỀU CHUYẾN BAY CÙNG NỘI DUNG TRONG MỘT THAO TÁC</t>
  </si>
  <si>
    <t>1. Mở chức năng và chuẩn bị dữ liệu kiểm thử liên quan đến: SỬA NHIỀU CHUYẾN BAY CÙNG NỘI DUNG TRONG MỘT THAO TÁC.
2. Thực hiện thao tác theo yêu cầu nghiệp vụ, gồm cả trường hợp hợp lệ và ngoại lệ.
3. Kiểm tra dữ liệu hiển thị, trạng thái xử lý, thông báo và nhật ký.</t>
  </si>
  <si>
    <t>Hệ thống thực hiện đúng chức năng SỬA NHIỀU CHUYẾN BAY CÙNG NỘI DUNG TRONG MỘT THAO TÁC; dữ liệu và trạng thái được cập nhật nhất quán, kết quả hiển thị đúng, lỗi được cảnh báo/xử lý an toàn và thao tác được ghi audit log.</t>
  </si>
  <si>
    <t>5.9</t>
  </si>
  <si>
    <t>ĐỐI CHIẾU SỐ LIỆU BAY GIỮA SLB VÀ BRAVO</t>
  </si>
  <si>
    <t>Kiểm thử chức năng: ĐỐI CHIẾU SỐ LIỆU BAY GIỮA SLB VÀ BRAVO</t>
  </si>
  <si>
    <t>1. Mở chức năng và chuẩn bị dữ liệu kiểm thử liên quan đến: ĐỐI CHIẾU SỐ LIỆU BAY GIỮA SLB VÀ BRAVO.
2. Thực hiện thao tác theo yêu cầu nghiệp vụ, gồm cả trường hợp hợp lệ và ngoại lệ.
3. Kiểm tra dữ liệu hiển thị, trạng thái xử lý, thông báo và nhật ký.</t>
  </si>
  <si>
    <t>Hệ thống thực hiện đúng chức năng ĐỐI CHIẾU SỐ LIỆU BAY GIỮA SLB VÀ BRAVO; dữ liệu và trạng thái được cập nhật nhất quán, kết quả hiển thị đúng, lỗi được cảnh báo/xử lý an toàn và thao tác được ghi audit log.</t>
  </si>
  <si>
    <t>MỞ RỘNG TÌM KIẾM TRÊN GIAO DIỆN DAILY MILITARY REPORT</t>
  </si>
  <si>
    <t>Kiểm thử chức năng: MỞ RỘNG TÌM KIẾM TRÊN GIAO DIỆN DAILY MILITARY REPORT</t>
  </si>
  <si>
    <t>1. Mở chức năng và chuẩn bị dữ liệu kiểm thử liên quan đến: MỞ RỘNG TÌM KIẾM TRÊN GIAO DIỆN DAILY MILITARY REPORT.
2. Thực hiện thao tác theo yêu cầu nghiệp vụ, gồm cả trường hợp hợp lệ và ngoại lệ.
3. Kiểm tra dữ liệu hiển thị, trạng thái xử lý, thông báo và nhật ký.</t>
  </si>
  <si>
    <t>Hệ thống thực hiện đúng chức năng MỞ RỘNG TÌM KIẾM TRÊN GIAO DIỆN DAILY MILITARY REPORT; dữ liệu và trạng thái được cập nhật nhất quán, kết quả hiển thị đúng, lỗi được cảnh báo/xử lý an toàn và thao tác được ghi audit log.</t>
  </si>
  <si>
    <t>6.1</t>
  </si>
  <si>
    <t>THÊM LỰA CHỌN THEO TẤT CẢ TIÊU CHÍ THỐNG KÊ TRONG BÁO CÁO</t>
  </si>
  <si>
    <t>Kiểm thử chức năng: THÊM LỰA CHỌN THEO TẤT CẢ TIÊU CHÍ THỐNG KÊ TRONG BÁO CÁO</t>
  </si>
  <si>
    <t>1. Mở chức năng và chuẩn bị dữ liệu kiểm thử liên quan đến: THÊM LỰA CHỌN THEO TẤT CẢ TIÊU CHÍ THỐNG KÊ TRONG BÁO CÁO.
2. Thực hiện thao tác theo yêu cầu nghiệp vụ, gồm cả trường hợp hợp lệ và ngoại lệ.
3. Kiểm tra dữ liệu hiển thị, trạng thái xử lý, thông báo và nhật ký.</t>
  </si>
  <si>
    <t>Hệ thống thực hiện đúng chức năng THÊM LỰA CHỌN THEO TẤT CẢ TIÊU CHÍ THỐNG KÊ TRONG BÁO CÁO; dữ liệu và trạng thái được cập nhật nhất quán, kết quả hiển thị đúng, lỗi được cảnh báo/xử lý an toàn và thao tác được ghi audit log.</t>
  </si>
  <si>
    <t>6.2</t>
  </si>
  <si>
    <t>ĐÁNH GIÁ SO SÁNH SỐ LIỆU CỦA KHBHĐBN VỚI CÙNG KỲ TUẦN TRƯỚC</t>
  </si>
  <si>
    <t>Kiểm thử chức năng: ĐÁNH GIÁ SO SÁNH SỐ LIỆU CỦA KHBHĐBN VỚI CÙNG KỲ TUẦN TRƯỚC</t>
  </si>
  <si>
    <t>1. Mở chức năng và chuẩn bị dữ liệu kiểm thử liên quan đến: ĐÁNH GIÁ SO SÁNH SỐ LIỆU CỦA KHBHĐBN VỚI CÙNG KỲ TUẦN TRƯỚC.
2. Thực hiện thao tác theo yêu cầu nghiệp vụ, gồm cả trường hợp hợp lệ và ngoại lệ.
3. Kiểm tra dữ liệu hiển thị, trạng thái xử lý, thông báo và nhật ký.</t>
  </si>
  <si>
    <t>Hệ thống thực hiện đúng chức năng ĐÁNH GIÁ SO SÁNH SỐ LIỆU CỦA KHBHĐBN VỚI CÙNG KỲ TUẦN TRƯỚC; dữ liệu và trạng thái được cập nhật nhất quán, kết quả hiển thị đúng, lỗi được cảnh báo/xử lý an toàn và thao tác được ghi audit log.</t>
  </si>
  <si>
    <t>BIỂU ĐỒ THÔNG TIN TỔNG QUAN KHAI THÁC BAY</t>
  </si>
  <si>
    <t>Kiểm thử chức năng: BIỂU ĐỒ THÔNG TIN TỔNG QUAN KHAI THÁC BAY</t>
  </si>
  <si>
    <t>1. Mở báo cáo/chức năng và chọn khoảng thời gian, phạm vi dữ liệu.
2. Thực hiện truy vấn, tổng hợp hoặc hiển thị biểu đồ theo yêu cầu: BIỂU ĐỒ THÔNG TIN TỔNG QUAN KHAI THÁC BAY.
3. Kiểm tra bộ lọc, số liệu, drill-down, cảnh báo và chức năng xuất báo cáo.</t>
  </si>
  <si>
    <t>Kết quả BIỂU ĐỒ THÔNG TIN TỔNG QUAN KHAI THÁC BAY chính xác, nhất quán với dữ liệu nguồn; biểu đồ/bảng cập nhật đúng bộ lọc, quyền truy cập được áp dụng, lỗi được thông báo và thao tác ghi audit log.</t>
  </si>
  <si>
    <t>PHÂN TÍCH XU HƯỚNG KHAI THÁC THEO THỜI GIAN</t>
  </si>
  <si>
    <t>Kiểm thử chức năng: PHÂN TÍCH XU HƯỚNG KHAI THÁC THEO THỜI GIAN</t>
  </si>
  <si>
    <t>1. Mở báo cáo/chức năng và chọn khoảng thời gian, phạm vi dữ liệu.
2. Thực hiện truy vấn, tổng hợp hoặc hiển thị biểu đồ theo yêu cầu: PHÂN TÍCH XU HƯỚNG KHAI THÁC THEO THỜI GIAN.
3. Kiểm tra bộ lọc, số liệu, drill-down, cảnh báo và chức năng xuất báo cáo.</t>
  </si>
  <si>
    <t>Kết quả PHÂN TÍCH XU HƯỚNG KHAI THÁC THEO THỜI GIAN chính xác, nhất quán với dữ liệu nguồn; biểu đồ/bảng cập nhật đúng bộ lọc, quyền truy cập được áp dụng, lỗi được thông báo và thao tác ghi audit log.</t>
  </si>
  <si>
    <t>PHÁT HIỆN VÀ CẢNH BÁO DỮ LIỆU BẤT THƯỜNG</t>
  </si>
  <si>
    <t>Kiểm thử chức năng: PHÁT HIỆN VÀ CẢNH BÁO DỮ LIỆU BẤT THƯỜNG</t>
  </si>
  <si>
    <t>1. Mở báo cáo/chức năng và chọn khoảng thời gian, phạm vi dữ liệu.
2. Thực hiện truy vấn, tổng hợp hoặc hiển thị biểu đồ theo yêu cầu: PHÁT HIỆN VÀ CẢNH BÁO DỮ LIỆU BẤT THƯỜNG.
3. Kiểm tra bộ lọc, số liệu, drill-down, cảnh báo và chức năng xuất báo cáo.</t>
  </si>
  <si>
    <t>Kết quả PHÁT HIỆN VÀ CẢNH BÁO DỮ LIỆU BẤT THƯỜNG chính xác, nhất quán với dữ liệu nguồn; biểu đồ/bảng cập nhật đúng bộ lọc, quyền truy cập được áp dụng, lỗi được thông báo và thao tác ghi audit log.</t>
  </si>
  <si>
    <t>TÍCH HỢP ADS-B CHO BÁO CÁO KHAI THÁC THỰC TẾ</t>
  </si>
  <si>
    <t>Kiểm thử chức năng: TÍCH HỢP ADS-B CHO BÁO CÁO KHAI THÁC THỰC TẾ</t>
  </si>
  <si>
    <t>1. Mở báo cáo/chức năng và chọn khoảng thời gian, phạm vi dữ liệu.
2. Thực hiện truy vấn, tổng hợp hoặc hiển thị biểu đồ theo yêu cầu: TÍCH HỢP ADS-B CHO BÁO CÁO KHAI THÁC THỰC TẾ.
3. Kiểm tra bộ lọc, số liệu, drill-down, cảnh báo và chức năng xuất báo cáo.</t>
  </si>
  <si>
    <t>Kết quả TÍCH HỢP ADS-B CHO BÁO CÁO KHAI THÁC THỰC TẾ chính xác, nhất quán với dữ liệu nguồn; biểu đồ/bảng cập nhật đúng bộ lọc, quyền truy cập được áp dụng, lỗi được thông báo và thao tác ghi audit log.</t>
  </si>
  <si>
    <t>TỔNG HỢP CHỈ SỐ HIỆU SUẤT BAY TỪ ADS-B</t>
  </si>
  <si>
    <t>Kiểm thử chức năng: TỔNG HỢP CHỈ SỐ HIỆU SUẤT BAY TỪ ADS-B</t>
  </si>
  <si>
    <t>1. Mở báo cáo/chức năng và chọn khoảng thời gian, phạm vi dữ liệu.
2. Thực hiện truy vấn, tổng hợp hoặc hiển thị biểu đồ theo yêu cầu: TỔNG HỢP CHỈ SỐ HIỆU SUẤT BAY TỪ ADS-B.
3. Kiểm tra bộ lọc, số liệu, drill-down, cảnh báo và chức năng xuất báo cáo.</t>
  </si>
  <si>
    <t>Kết quả TỔNG HỢP CHỈ SỐ HIỆU SUẤT BAY TỪ ADS-B chính xác, nhất quán với dữ liệu nguồn; biểu đồ/bảng cập nhật đúng bộ lọc, quyền truy cập được áp dụng, lỗi được thông báo và thao tác ghi audit log.</t>
  </si>
  <si>
    <t>BIỂU ĐỒ THỐNG KÊ TRẠNG THÁI CHUYẾN BAY THEO TỶ LỆ %</t>
  </si>
  <si>
    <t>Kiểm thử chức năng: BIỂU ĐỒ THỐNG KÊ TRẠNG THÁI CHUYẾN BAY THEO TỶ LỆ %</t>
  </si>
  <si>
    <t>1. Mở báo cáo/chức năng và chọn khoảng thời gian, phạm vi dữ liệu.
2. Thực hiện truy vấn, tổng hợp hoặc hiển thị biểu đồ theo yêu cầu: BIỂU ĐỒ THỐNG KÊ TRẠNG THÁI CHUYẾN BAY THEO TỶ LỆ %.
3. Kiểm tra bộ lọc, số liệu, drill-down, cảnh báo và chức năng xuất báo cáo.</t>
  </si>
  <si>
    <t>Kết quả BIỂU ĐỒ THỐNG KÊ TRẠNG THÁI CHUYẾN BAY THEO TỶ LỆ % chính xác, nhất quán với dữ liệu nguồn; biểu đồ/bảng cập nhật đúng bộ lọc, quyền truy cập được áp dụng, lỗi được thông báo và thao tác ghi audit log.</t>
  </si>
  <si>
    <t>BIỂU ĐỒ SO SÁNH HOẠT ĐỘNG BAY GIỮA CÁC SÂN BAY</t>
  </si>
  <si>
    <t>Kiểm thử chức năng: BIỂU ĐỒ SO SÁNH HOẠT ĐỘNG BAY GIỮA CÁC SÂN BAY</t>
  </si>
  <si>
    <t>1. Mở báo cáo/chức năng và chọn khoảng thời gian, phạm vi dữ liệu.
2. Thực hiện truy vấn, tổng hợp hoặc hiển thị biểu đồ theo yêu cầu: BIỂU ĐỒ SO SÁNH HOẠT ĐỘNG BAY GIỮA CÁC SÂN BAY.
3. Kiểm tra bộ lọc, số liệu, drill-down, cảnh báo và chức năng xuất báo cáo.</t>
  </si>
  <si>
    <t>Kết quả BIỂU ĐỒ SO SÁNH HOẠT ĐỘNG BAY GIỮA CÁC SÂN BAY chính xác, nhất quán với dữ liệu nguồn; biểu đồ/bảng cập nhật đúng bộ lọc, quyền truy cập được áp dụng, lỗi được thông báo và thao tác ghi audit log.</t>
  </si>
  <si>
    <t>BÁO CÁO CHUYẾN BAY QUÂN SỰ THEO TIÊU CHÍ MỞ RỘNG</t>
  </si>
  <si>
    <t>Kiểm thử chức năng: BÁO CÁO CHUYẾN BAY QUÂN SỰ THEO TIÊU CHÍ MỞ RỘNG</t>
  </si>
  <si>
    <t>1. Mở báo cáo/chức năng và chọn khoảng thời gian, phạm vi dữ liệu.
2. Thực hiện truy vấn, tổng hợp hoặc hiển thị biểu đồ theo yêu cầu: BÁO CÁO CHUYẾN BAY QUÂN SỰ THEO TIÊU CHÍ MỞ RỘNG.
3. Kiểm tra bộ lọc, số liệu, drill-down, cảnh báo và chức năng xuất báo cáo.</t>
  </si>
  <si>
    <t>Kết quả BÁO CÁO CHUYẾN BAY QUÂN SỰ THEO TIÊU CHÍ MỞ RỘNG chính xác, nhất quán với dữ liệu nguồn; biểu đồ/bảng cập nhật đúng bộ lọc, quyền truy cập được áp dụng, lỗi được thông báo và thao tác ghi audit log.</t>
  </si>
  <si>
    <t>BÁO CÁO TỔNG HỢP HOẠT ĐỘNG BAY TẤT CẢ SÂN BAY DÂN DỤNG</t>
  </si>
  <si>
    <t>Kiểm thử chức năng: BÁO CÁO TỔNG HỢP HOẠT ĐỘNG BAY TẤT CẢ SÂN BAY DÂN DỤNG</t>
  </si>
  <si>
    <t>1. Mở báo cáo/chức năng và chọn khoảng thời gian, phạm vi dữ liệu.
2. Thực hiện truy vấn, tổng hợp hoặc hiển thị biểu đồ theo yêu cầu: BÁO CÁO TỔNG HỢP HOẠT ĐỘNG BAY TẤT CẢ SÂN BAY DÂN DỤNG.
3. Kiểm tra bộ lọc, số liệu, drill-down, cảnh báo và chức năng xuất báo cáo.</t>
  </si>
  <si>
    <t>Kết quả BÁO CÁO TỔNG HỢP HOẠT ĐỘNG BAY TẤT CẢ SÂN BAY DÂN DỤNG chính xác, nhất quán với dữ liệu nguồn; biểu đồ/bảng cập nhật đúng bộ lọc, quyền truy cập được áp dụng, lỗi được thông báo và thao tác ghi audit log.</t>
  </si>
  <si>
    <t>BÁO CÁO CẤT, HẠ CÁNH TẠI CÁC SÂN BAY TOÀN QUỐC</t>
  </si>
  <si>
    <t>Kiểm thử chức năng: BÁO CÁO CẤT, HẠ CÁNH TẠI CÁC SÂN BAY TOÀN QUỐC</t>
  </si>
  <si>
    <t>1. Mở báo cáo/chức năng và chọn khoảng thời gian, phạm vi dữ liệu.
2. Thực hiện truy vấn, tổng hợp hoặc hiển thị biểu đồ theo yêu cầu: BÁO CÁO CẤT, HẠ CÁNH TẠI CÁC SÂN BAY TOÀN QUỐC.
3. Kiểm tra bộ lọc, số liệu, drill-down, cảnh báo và chức năng xuất báo cáo.</t>
  </si>
  <si>
    <t>Kết quả BÁO CÁO CẤT, HẠ CÁNH TẠI CÁC SÂN BAY TOÀN QUỐC chính xác, nhất quán với dữ liệu nguồn; biểu đồ/bảng cập nhật đúng bộ lọc, quyền truy cập được áp dụng, lỗi được thông báo và thao tác ghi audit log.</t>
  </si>
  <si>
    <t>XỬ LÝ NGÔN NGỮ TỰ NHIÊN CHO TRUY VẤN HÀNG KHÔNG</t>
  </si>
  <si>
    <t>Người khai thác; NLP Engine; Từ điển hàng không</t>
  </si>
  <si>
    <t>Phân tích câu hỏi tiếng Việt thành truy vấn cấu trúc</t>
  </si>
  <si>
    <t>Nhập câu hỏi tiếng Việt có dấu/không dấu, viết tắt hoặc teencode; hệ thống chuẩn hóa, phân loại intent, nhận diện thực thể và đối chiếu từ điển.</t>
  </si>
  <si>
    <t>Trả về JSON AST đúng intent/entities; hỗ trợ biến thể tiếng Việt; câu hỏi mơ hồ được yêu cầu làm rõ; không sinh truy vấn ngoài phạm vi.</t>
  </si>
  <si>
    <t>TRUY VẤN VÀ TỔNG HỢP DỮ LIỆU TỰ ĐỘNG THEO YÊU CẦU</t>
  </si>
  <si>
    <t>Người khai thác; NLP Engine; Semantic Layer; RBAC</t>
  </si>
  <si>
    <t>Sinh và thực thi truy vấn an toàn từ JSON AST</t>
  </si>
  <si>
    <t>Gửi JSON AST; xác thực qua Semantic Layer; áp dụng RBAC; sinh parameterized SQL; thực thi với timeout guard và định dạng kết quả.</t>
  </si>
  <si>
    <t>Dữ liệu truy xuất chính xác, không SQL injection; quyền được áp dụng trước khi chạm DB; timeout được kiểm soát; trả JSON/Rich Cards hoặc thông báo không có dữ liệu.</t>
  </si>
  <si>
    <t>TÍCH HỢP TRỢ LÝ ẢO (CHATBOT) VÀO GIAO DIỆN SLB</t>
  </si>
  <si>
    <t>Người khai thác; Chatbot backend; WebSocket; Web Speech API</t>
  </si>
  <si>
    <t>Tương tác chatbot đa phương thức và deep-link</t>
  </si>
  <si>
    <t>Mở chatbot bằng Ctrl+K/icon; nhập text hoặc voice-to-text; kiểm tra suggested queries theo ngữ cảnh, streaming response và deep-link đến màn hình nghiệp vụ.</t>
  </si>
  <si>
    <t>Chatbot truy cập từ mọi màn hình; phản hồi streaming đúng ngữ cảnh; voice lỗi có fallback text; mất WebSocket tự reconnect; deep-link mở đúng chức năng.</t>
  </si>
  <si>
    <t>BÁO CÁO VÀ GIÁM SÁT HIỆU NĂNG CỦA TRỢ LÝ ẢO</t>
  </si>
  <si>
    <t>Quản trị viên; AI Ops Dashboard; Telemetry Service</t>
  </si>
  <si>
    <t>Theo dõi metrics, fallback và active learning</t>
  </si>
  <si>
    <t>Ghi telemetry mọi tương tác; xem Volume, Accuracy Rate, Intent Distribution, Top Fallback; review query lỗi, gán lại intent/entity và kích hoạt retrain.</t>
  </si>
  <si>
    <t>Dashboard hiển thị metrics gần thời gian thực; fallback rate vượt ngưỡng phát cảnh báo; PII được che trước khi lưu; retrain không cần restart và có audit log.</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</si>
</sst>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color rgb="FF000000"/>
      <name val="Arial"/>
      <scheme val="minor"/>
    </font>
    <font>
      <sz val="10"/>
      <color theme="1"/>
      <name val="Arial"/>
    </font>
    <font>
      <b/>
      <sz val="12"/>
      <color theme="1"/>
      <name val="Times New Roman"/>
    </font>
    <font>
      <sz val="12"/>
      <color theme="1"/>
      <name val="Times New Roman"/>
    </font>
    <font>
      <u/>
      <sz val="12"/>
      <color rgb="FF1155CC"/>
      <name val="Times New Roman"/>
    </font>
    <font>
      <sz val="12"/>
      <color rgb="FF1F1F1F"/>
      <name val="Times New Roman"/>
    </font>
    <font>
      <sz val="12"/>
      <color rgb="FFFF0000"/>
      <name val="Times New Roman"/>
    </font>
    <font>
      <sz val="10"/>
      <color rgb="FFFF0000"/>
      <name val="Arial"/>
    </font>
    <font>
      <u/>
      <sz val="12"/>
      <color rgb="FFFF0000"/>
      <name val="Times New Roman"/>
    </font>
    <font>
      <sz val="10"/>
      <name val="Times New Roman"/>
      <family val="1"/>
    </font>
    <font>
      <sz val="10"/>
      <color theme="1"/>
      <name val="Times New Roman"/>
      <family val="1"/>
    </font>
    <font>
      <b/>
      <sz val="10"/>
      <color theme="1"/>
      <name val="Times New Roman"/>
      <family val="1"/>
    </font>
    <font>
      <u/>
      <sz val="10"/>
      <color rgb="FF0000FF"/>
      <name val="Times New Roman"/>
      <family val="1"/>
    </font>
    <font>
      <u/>
      <sz val="10"/>
      <color rgb="FF1155CC"/>
      <name val="Times New Roman"/>
      <family val="1"/>
    </font>
  </fonts>
  <fills count="5">
    <fill>
      <patternFill patternType="none"/>
    </fill>
    <fill>
      <patternFill patternType="gray125"/>
    </fill>
    <fill>
      <patternFill patternType="solid">
        <fgColor rgb="FFC9DAF8"/>
        <bgColor rgb="FFC9DAF8"/>
      </patternFill>
    </fill>
    <fill>
      <patternFill patternType="solid">
        <fgColor rgb="FFD9EAD3"/>
        <bgColor rgb="FFD9EAD3"/>
      </patternFill>
    </fill>
    <fill>
      <patternFill patternType="solid">
        <fgColor rgb="FFFFE599"/>
        <bgColor rgb="FFFFE59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41">
    <xf numFmtId="0" fontId="0" fillId="0" borderId="0" xfId="0" applyFont="1" applyAlignment="1"/>
    <xf numFmtId="0" fontId="1" fillId="0" borderId="0" xfId="0" applyFont="1"/>
    <xf numFmtId="0" fontId="2" fillId="0" borderId="1" xfId="0" applyFont="1" applyBorder="1" applyAlignment="1">
      <alignment horizontal="center" wrapText="1"/>
    </xf>
    <xf numFmtId="0" fontId="3" fillId="0" borderId="0" xfId="0" applyFont="1"/>
    <xf numFmtId="0" fontId="3" fillId="0" borderId="0" xfId="0" applyFont="1" applyAlignment="1">
      <alignment wrapText="1"/>
    </xf>
    <xf numFmtId="0" fontId="3" fillId="0" borderId="1" xfId="0" applyFont="1" applyBorder="1"/>
    <xf numFmtId="0" fontId="3" fillId="0" borderId="1" xfId="0" applyFont="1" applyBorder="1" applyAlignment="1">
      <alignment horizontal="center" wrapText="1"/>
    </xf>
    <xf numFmtId="0" fontId="1" fillId="0" borderId="1" xfId="0" applyFont="1" applyBorder="1"/>
    <xf numFmtId="0" fontId="2" fillId="0" borderId="5" xfId="0" applyFont="1" applyBorder="1" applyAlignment="1">
      <alignment horizontal="center" wrapText="1"/>
    </xf>
    <xf numFmtId="0" fontId="2" fillId="0" borderId="6" xfId="0" applyFont="1" applyBorder="1" applyAlignment="1">
      <alignment wrapText="1"/>
    </xf>
    <xf numFmtId="0" fontId="3" fillId="0" borderId="6" xfId="0" applyFont="1" applyBorder="1" applyAlignment="1">
      <alignment wrapText="1"/>
    </xf>
    <xf numFmtId="0" fontId="1" fillId="0" borderId="6" xfId="0" applyFont="1" applyBorder="1"/>
    <xf numFmtId="0" fontId="1" fillId="0" borderId="5" xfId="0" applyFont="1" applyBorder="1"/>
    <xf numFmtId="0" fontId="3" fillId="0" borderId="1" xfId="0" applyFont="1" applyBorder="1" applyAlignment="1">
      <alignment wrapText="1"/>
    </xf>
    <xf numFmtId="0" fontId="4" fillId="0" borderId="1" xfId="0" applyFont="1" applyBorder="1" applyAlignment="1">
      <alignment wrapText="1"/>
    </xf>
    <xf numFmtId="0" fontId="3" fillId="0" borderId="1" xfId="0" applyFont="1" applyBorder="1" applyAlignment="1">
      <alignment wrapText="1"/>
    </xf>
    <xf numFmtId="0" fontId="1" fillId="0" borderId="1" xfId="0" applyFont="1" applyBorder="1" applyAlignment="1"/>
    <xf numFmtId="0" fontId="5" fillId="0" borderId="1" xfId="0" applyFont="1" applyBorder="1" applyAlignment="1">
      <alignment wrapText="1"/>
    </xf>
    <xf numFmtId="0" fontId="6" fillId="0" borderId="1" xfId="0" applyFont="1" applyBorder="1" applyAlignment="1">
      <alignment wrapText="1"/>
    </xf>
    <xf numFmtId="0" fontId="7" fillId="0" borderId="0" xfId="0" applyFont="1" applyAlignment="1">
      <alignment wrapText="1"/>
    </xf>
    <xf numFmtId="0" fontId="8" fillId="0" borderId="1" xfId="0" applyFont="1" applyBorder="1" applyAlignment="1">
      <alignment wrapText="1"/>
    </xf>
    <xf numFmtId="0" fontId="1" fillId="0" borderId="1" xfId="0" applyFont="1" applyBorder="1" applyAlignment="1">
      <alignment wrapText="1"/>
    </xf>
    <xf numFmtId="0" fontId="1" fillId="0" borderId="0" xfId="0" applyFont="1" applyAlignment="1">
      <alignment wrapText="1"/>
    </xf>
    <xf numFmtId="0" fontId="0" fillId="0" borderId="0" xfId="0" applyFont="1" applyAlignment="1">
      <alignment wrapText="1"/>
    </xf>
    <xf numFmtId="0" fontId="9" fillId="0" borderId="3" xfId="0" applyFont="1" applyBorder="1"/>
    <xf numFmtId="0" fontId="9" fillId="0" borderId="4" xfId="0" applyFont="1" applyBorder="1"/>
    <xf numFmtId="0" fontId="10" fillId="0" borderId="6" xfId="0" applyFont="1" applyBorder="1"/>
    <xf numFmtId="0" fontId="10" fillId="0" borderId="1" xfId="0" applyFont="1" applyBorder="1" applyAlignment="1">
      <alignment wrapText="1"/>
    </xf>
    <xf numFmtId="0" fontId="10" fillId="0" borderId="1" xfId="0" applyFont="1" applyBorder="1"/>
    <xf numFmtId="0" fontId="10" fillId="0" borderId="5" xfId="0" applyFont="1" applyBorder="1"/>
    <xf numFmtId="0" fontId="10" fillId="0" borderId="1" xfId="0" applyFont="1" applyBorder="1" applyAlignment="1"/>
    <xf numFmtId="0" fontId="11" fillId="0" borderId="1" xfId="0" applyFont="1" applyBorder="1" applyAlignment="1">
      <alignment horizontal="center" wrapText="1"/>
    </xf>
    <xf numFmtId="0" fontId="11" fillId="2" borderId="2" xfId="0" applyFont="1" applyFill="1" applyBorder="1" applyAlignment="1">
      <alignment horizontal="center" wrapText="1"/>
    </xf>
    <xf numFmtId="0" fontId="11" fillId="3" borderId="2" xfId="0" applyFont="1" applyFill="1" applyBorder="1" applyAlignment="1">
      <alignment horizontal="center" wrapText="1"/>
    </xf>
    <xf numFmtId="0" fontId="11" fillId="4" borderId="1" xfId="0" applyFont="1" applyFill="1" applyBorder="1" applyAlignment="1">
      <alignment horizontal="center" wrapText="1"/>
    </xf>
    <xf numFmtId="0" fontId="11" fillId="0" borderId="5" xfId="0" applyFont="1" applyBorder="1" applyAlignment="1">
      <alignment horizontal="center" wrapText="1"/>
    </xf>
    <xf numFmtId="0" fontId="11" fillId="0" borderId="6" xfId="0" applyFont="1" applyBorder="1" applyAlignment="1">
      <alignment wrapText="1"/>
    </xf>
    <xf numFmtId="0" fontId="10" fillId="0" borderId="6" xfId="0" applyFont="1" applyBorder="1" applyAlignment="1">
      <alignment wrapText="1"/>
    </xf>
    <xf numFmtId="0" fontId="12" fillId="0" borderId="1" xfId="0" applyFont="1" applyBorder="1" applyAlignment="1">
      <alignment wrapText="1"/>
    </xf>
    <xf numFmtId="0" fontId="10" fillId="0" borderId="0" xfId="0" applyFont="1" applyAlignment="1">
      <alignment wrapText="1"/>
    </xf>
    <xf numFmtId="0" fontId="1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bang_hungyen.poc-ap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307"/>
  <sheetViews>
    <sheetView tabSelected="1" topLeftCell="D79" workbookViewId="0">
      <selection activeCell="F6" sqref="F6"/>
    </sheetView>
  </sheetViews>
  <sheetFormatPr defaultColWidth="12.5703125" defaultRowHeight="15.75" customHeight="1" x14ac:dyDescent="0.2"/>
  <cols>
    <col min="1" max="1" width="10.85546875" customWidth="1"/>
    <col min="2" max="2" width="34.42578125" customWidth="1"/>
    <col min="3" max="3" width="29.42578125" customWidth="1"/>
    <col min="4" max="4" width="34.140625" customWidth="1"/>
    <col min="5" max="5" width="39.28515625" customWidth="1"/>
    <col min="6" max="6" width="43.42578125" style="23" customWidth="1"/>
  </cols>
  <sheetData>
    <row r="1" spans="1:17" ht="15.75" customHeight="1" x14ac:dyDescent="0.25">
      <c r="A1" s="1"/>
      <c r="B1" s="1"/>
      <c r="C1" s="1"/>
      <c r="D1" s="2" t="s">
        <v>0</v>
      </c>
      <c r="E1" s="2" t="s">
        <v>1</v>
      </c>
      <c r="F1" s="2" t="s">
        <v>2</v>
      </c>
      <c r="G1" s="2" t="s">
        <v>3</v>
      </c>
      <c r="H1" s="2" t="s">
        <v>4</v>
      </c>
      <c r="I1" s="2" t="s">
        <v>5</v>
      </c>
      <c r="J1" s="2" t="s">
        <v>6</v>
      </c>
      <c r="K1" s="2" t="s">
        <v>7</v>
      </c>
      <c r="L1" s="3" t="s">
        <v>8</v>
      </c>
      <c r="M1" s="4" t="s">
        <v>9</v>
      </c>
      <c r="N1" s="4" t="s">
        <v>10</v>
      </c>
      <c r="O1" s="4" t="s">
        <v>11</v>
      </c>
      <c r="P1" s="1"/>
      <c r="Q1" s="1"/>
    </row>
    <row r="2" spans="1:17" ht="15.75" customHeight="1" x14ac:dyDescent="0.25">
      <c r="A2" s="1"/>
      <c r="B2" s="1"/>
      <c r="C2" s="5" t="s">
        <v>12</v>
      </c>
      <c r="D2" s="6">
        <f>COUNTIF(H8:H652, "Đạt")</f>
        <v>0</v>
      </c>
      <c r="E2" s="6">
        <f>COUNTIF(H8:H652, "Không đạt")</f>
        <v>0</v>
      </c>
      <c r="F2" s="6">
        <f>COUNTIF(H8:H652, "Không kiểm thử được")</f>
        <v>0</v>
      </c>
      <c r="G2" s="6">
        <f>COUNTIF(H8:H652, "Cần confirm")</f>
        <v>0</v>
      </c>
      <c r="H2" s="6">
        <f>COUNTIF(H8:H652, "Ảnh hưởng")</f>
        <v>0</v>
      </c>
      <c r="I2" s="6">
        <f t="shared" ref="I2:I3" si="0">SUM(D2:H2)</f>
        <v>0</v>
      </c>
      <c r="J2" s="6">
        <f t="shared" ref="J2:J3" si="1">K2-H2-G2-F2-E2-D2</f>
        <v>81</v>
      </c>
      <c r="K2" s="6">
        <f>COUNTA(F6:F654)</f>
        <v>81</v>
      </c>
      <c r="L2" s="6">
        <f>COUNTIF(K7:Z1001, "Hoàn thành")</f>
        <v>0</v>
      </c>
      <c r="M2" s="6">
        <f>COUNTIF(K8:K1001, "Reject")</f>
        <v>0</v>
      </c>
      <c r="N2" s="6">
        <f>COUNTIF(K8:K1001, "Đang kiểm tra")</f>
        <v>0</v>
      </c>
      <c r="O2" s="6">
        <f>COUNTIF(K8:K1001, "Đã phản hồi")</f>
        <v>0</v>
      </c>
      <c r="P2" s="1"/>
      <c r="Q2" s="1"/>
    </row>
    <row r="3" spans="1:17" ht="15.75" customHeight="1" x14ac:dyDescent="0.25">
      <c r="A3" s="1"/>
      <c r="B3" s="1"/>
      <c r="C3" s="5" t="s">
        <v>13</v>
      </c>
      <c r="D3" s="6">
        <f>COUNTIF(L4:L10005, "Đạt")</f>
        <v>0</v>
      </c>
      <c r="E3" s="6">
        <f>COUNTIF(L4:L6564, "Không đạt")</f>
        <v>0</v>
      </c>
      <c r="F3" s="6">
        <f>COUNTIF(L4:L6564, "Không kiểm thử được")</f>
        <v>0</v>
      </c>
      <c r="G3" s="6">
        <f>COUNTIF(L6:L6564, "Cần confirm")</f>
        <v>0</v>
      </c>
      <c r="H3" s="6">
        <f>COUNTIF(L4:L10005, "Ảnh hưởng")</f>
        <v>0</v>
      </c>
      <c r="I3" s="6">
        <f t="shared" si="0"/>
        <v>0</v>
      </c>
      <c r="J3" s="6">
        <f t="shared" si="1"/>
        <v>81</v>
      </c>
      <c r="K3" s="6">
        <f>COUNTA(F6:F654)</f>
        <v>81</v>
      </c>
      <c r="L3" s="1"/>
      <c r="M3" s="1"/>
      <c r="N3" s="1"/>
      <c r="O3" s="1"/>
      <c r="P3" s="1"/>
      <c r="Q3" s="1"/>
    </row>
    <row r="4" spans="1:17" ht="12.75" x14ac:dyDescent="0.2">
      <c r="A4" s="1"/>
      <c r="B4" s="1"/>
      <c r="C4" s="1"/>
      <c r="D4" s="1"/>
      <c r="E4" s="1"/>
      <c r="F4" s="22"/>
      <c r="G4" s="7"/>
      <c r="H4" s="1"/>
      <c r="I4" s="1"/>
      <c r="J4" s="1"/>
      <c r="K4" s="1"/>
      <c r="L4" s="1"/>
      <c r="M4" s="1"/>
      <c r="N4" s="1"/>
      <c r="O4" s="1"/>
      <c r="P4" s="1"/>
      <c r="Q4" s="1"/>
    </row>
    <row r="5" spans="1:17" ht="25.5" x14ac:dyDescent="0.2">
      <c r="A5" s="31" t="s">
        <v>14</v>
      </c>
      <c r="B5" s="31" t="s">
        <v>15</v>
      </c>
      <c r="C5" s="31" t="s">
        <v>16</v>
      </c>
      <c r="D5" s="31" t="s">
        <v>17</v>
      </c>
      <c r="E5" s="31" t="s">
        <v>18</v>
      </c>
      <c r="F5" s="31" t="s">
        <v>19</v>
      </c>
      <c r="G5" s="31" t="s">
        <v>20</v>
      </c>
      <c r="H5" s="32" t="s">
        <v>12</v>
      </c>
      <c r="I5" s="24"/>
      <c r="J5" s="24"/>
      <c r="K5" s="25"/>
      <c r="L5" s="33" t="s">
        <v>13</v>
      </c>
      <c r="M5" s="24"/>
      <c r="N5" s="24"/>
      <c r="O5" s="25"/>
      <c r="P5" s="34" t="s">
        <v>21</v>
      </c>
      <c r="Q5" s="1"/>
    </row>
    <row r="6" spans="1:17" ht="153" x14ac:dyDescent="0.2">
      <c r="A6" s="35">
        <v>1</v>
      </c>
      <c r="B6" s="36" t="s">
        <v>22</v>
      </c>
      <c r="C6" s="37" t="s">
        <v>23</v>
      </c>
      <c r="D6" s="26"/>
      <c r="E6" s="38" t="s">
        <v>24</v>
      </c>
      <c r="F6" s="27" t="s">
        <v>25</v>
      </c>
      <c r="G6" s="28"/>
      <c r="H6" s="31"/>
      <c r="I6" s="31"/>
      <c r="J6" s="31"/>
      <c r="K6" s="31"/>
      <c r="L6" s="31"/>
      <c r="M6" s="31"/>
      <c r="N6" s="31"/>
      <c r="O6" s="31"/>
      <c r="P6" s="28"/>
      <c r="Q6" s="1"/>
    </row>
    <row r="7" spans="1:17" ht="38.25" x14ac:dyDescent="0.2">
      <c r="A7" s="29"/>
      <c r="B7" s="26"/>
      <c r="C7" s="26"/>
      <c r="D7" s="37" t="s">
        <v>26</v>
      </c>
      <c r="E7" s="27" t="s">
        <v>27</v>
      </c>
      <c r="F7" s="27" t="s">
        <v>28</v>
      </c>
      <c r="G7" s="28"/>
      <c r="H7" s="28"/>
      <c r="I7" s="28"/>
      <c r="J7" s="28"/>
      <c r="K7" s="28"/>
      <c r="L7" s="28"/>
      <c r="M7" s="27"/>
      <c r="N7" s="28"/>
      <c r="O7" s="27"/>
      <c r="P7" s="28"/>
      <c r="Q7" s="1"/>
    </row>
    <row r="8" spans="1:17" ht="51" x14ac:dyDescent="0.2">
      <c r="A8" s="29"/>
      <c r="B8" s="26"/>
      <c r="C8" s="26"/>
      <c r="D8" s="37" t="s">
        <v>29</v>
      </c>
      <c r="E8" s="27" t="s">
        <v>30</v>
      </c>
      <c r="F8" s="27" t="s">
        <v>31</v>
      </c>
      <c r="G8" s="28"/>
      <c r="H8" s="28"/>
      <c r="I8" s="28"/>
      <c r="J8" s="28"/>
      <c r="K8" s="28"/>
      <c r="L8" s="28"/>
      <c r="M8" s="28"/>
      <c r="N8" s="28"/>
      <c r="O8" s="28"/>
      <c r="P8" s="28"/>
      <c r="Q8" s="1"/>
    </row>
    <row r="9" spans="1:17" ht="38.25" x14ac:dyDescent="0.2">
      <c r="A9" s="29"/>
      <c r="B9" s="26"/>
      <c r="C9" s="26"/>
      <c r="D9" s="37" t="s">
        <v>32</v>
      </c>
      <c r="E9" s="27" t="s">
        <v>33</v>
      </c>
      <c r="F9" s="27" t="s">
        <v>34</v>
      </c>
      <c r="G9" s="28"/>
      <c r="H9" s="28"/>
      <c r="I9" s="28"/>
      <c r="J9" s="28"/>
      <c r="K9" s="28"/>
      <c r="L9" s="28"/>
      <c r="M9" s="27"/>
      <c r="N9" s="28"/>
      <c r="O9" s="27"/>
      <c r="P9" s="27"/>
      <c r="Q9" s="1"/>
    </row>
    <row r="10" spans="1:17" ht="51" x14ac:dyDescent="0.2">
      <c r="A10" s="29"/>
      <c r="B10" s="26"/>
      <c r="C10" s="26"/>
      <c r="D10" s="37" t="s">
        <v>35</v>
      </c>
      <c r="E10" s="27" t="s">
        <v>36</v>
      </c>
      <c r="F10" s="27" t="s">
        <v>37</v>
      </c>
      <c r="G10" s="28"/>
      <c r="H10" s="28"/>
      <c r="I10" s="28"/>
      <c r="J10" s="28"/>
      <c r="K10" s="28"/>
      <c r="L10" s="28"/>
      <c r="M10" s="27"/>
      <c r="N10" s="28"/>
      <c r="O10" s="27"/>
      <c r="P10" s="28"/>
      <c r="Q10" s="1"/>
    </row>
    <row r="11" spans="1:17" ht="102" x14ac:dyDescent="0.2">
      <c r="A11" s="29" t="s">
        <v>38</v>
      </c>
      <c r="B11" s="26" t="s">
        <v>39</v>
      </c>
      <c r="C11" s="26" t="s">
        <v>40</v>
      </c>
      <c r="D11" s="37"/>
      <c r="E11" s="27" t="s">
        <v>41</v>
      </c>
      <c r="F11" s="27" t="s">
        <v>42</v>
      </c>
      <c r="G11" s="28"/>
      <c r="H11" s="28"/>
      <c r="I11" s="28"/>
      <c r="J11" s="28"/>
      <c r="K11" s="28"/>
      <c r="L11" s="28"/>
      <c r="M11" s="28"/>
      <c r="N11" s="28"/>
      <c r="O11" s="28"/>
      <c r="P11" s="28"/>
      <c r="Q11" s="1"/>
    </row>
    <row r="12" spans="1:17" ht="38.25" x14ac:dyDescent="0.2">
      <c r="A12" s="29"/>
      <c r="B12" s="26"/>
      <c r="C12" s="26"/>
      <c r="D12" s="37" t="s">
        <v>43</v>
      </c>
      <c r="E12" s="27" t="s">
        <v>44</v>
      </c>
      <c r="F12" s="27" t="s">
        <v>45</v>
      </c>
      <c r="G12" s="28"/>
      <c r="H12" s="28"/>
      <c r="I12" s="28"/>
      <c r="J12" s="28"/>
      <c r="K12" s="28"/>
      <c r="L12" s="28"/>
      <c r="M12" s="28"/>
      <c r="N12" s="28"/>
      <c r="O12" s="28"/>
      <c r="P12" s="28"/>
      <c r="Q12" s="1"/>
    </row>
    <row r="13" spans="1:17" ht="15.75" customHeight="1" x14ac:dyDescent="0.2">
      <c r="A13" s="29"/>
      <c r="B13" s="26"/>
      <c r="C13" s="26"/>
      <c r="D13" s="37" t="s">
        <v>46</v>
      </c>
      <c r="E13" s="27" t="s">
        <v>47</v>
      </c>
      <c r="F13" s="27" t="s">
        <v>48</v>
      </c>
      <c r="G13" s="28"/>
      <c r="H13" s="28"/>
      <c r="I13" s="28"/>
      <c r="J13" s="28"/>
      <c r="K13" s="28"/>
      <c r="L13" s="28"/>
      <c r="M13" s="28"/>
      <c r="N13" s="28"/>
      <c r="O13" s="28"/>
      <c r="P13" s="28"/>
      <c r="Q13" s="1"/>
    </row>
    <row r="14" spans="1:17" ht="15.75" customHeight="1" x14ac:dyDescent="0.2">
      <c r="A14" s="29"/>
      <c r="B14" s="26"/>
      <c r="C14" s="26"/>
      <c r="D14" s="37" t="s">
        <v>49</v>
      </c>
      <c r="E14" s="27" t="s">
        <v>50</v>
      </c>
      <c r="F14" s="27" t="s">
        <v>51</v>
      </c>
      <c r="G14" s="28"/>
      <c r="H14" s="28"/>
      <c r="I14" s="28"/>
      <c r="J14" s="28"/>
      <c r="K14" s="28"/>
      <c r="L14" s="28"/>
      <c r="M14" s="27"/>
      <c r="N14" s="28"/>
      <c r="O14" s="27"/>
      <c r="P14" s="27"/>
      <c r="Q14" s="1"/>
    </row>
    <row r="15" spans="1:17" ht="15.75" customHeight="1" x14ac:dyDescent="0.2">
      <c r="A15" s="29"/>
      <c r="B15" s="26"/>
      <c r="C15" s="26"/>
      <c r="D15" s="37" t="s">
        <v>52</v>
      </c>
      <c r="E15" s="27" t="s">
        <v>53</v>
      </c>
      <c r="F15" s="27" t="s">
        <v>54</v>
      </c>
      <c r="G15" s="28"/>
      <c r="H15" s="28"/>
      <c r="I15" s="27"/>
      <c r="J15" s="28"/>
      <c r="K15" s="28"/>
      <c r="L15" s="28"/>
      <c r="M15" s="28"/>
      <c r="N15" s="28"/>
      <c r="O15" s="28"/>
      <c r="P15" s="28"/>
      <c r="Q15" s="1"/>
    </row>
    <row r="16" spans="1:17" ht="15.75" customHeight="1" x14ac:dyDescent="0.2">
      <c r="A16" s="35" t="s">
        <v>55</v>
      </c>
      <c r="B16" s="36" t="s">
        <v>56</v>
      </c>
      <c r="C16" s="37" t="s">
        <v>57</v>
      </c>
      <c r="D16" s="26"/>
      <c r="E16" s="27" t="s">
        <v>58</v>
      </c>
      <c r="F16" s="27" t="s">
        <v>59</v>
      </c>
      <c r="G16" s="28"/>
      <c r="H16" s="28"/>
      <c r="I16" s="28"/>
      <c r="J16" s="28"/>
      <c r="K16" s="28"/>
      <c r="L16" s="28"/>
      <c r="M16" s="28"/>
      <c r="N16" s="28"/>
      <c r="O16" s="28"/>
      <c r="P16" s="28"/>
      <c r="Q16" s="1"/>
    </row>
    <row r="17" spans="1:17" ht="15.75" customHeight="1" x14ac:dyDescent="0.2">
      <c r="A17" s="29"/>
      <c r="B17" s="26"/>
      <c r="C17" s="26"/>
      <c r="D17" s="37" t="s">
        <v>60</v>
      </c>
      <c r="E17" s="27" t="s">
        <v>61</v>
      </c>
      <c r="F17" s="27" t="s">
        <v>62</v>
      </c>
      <c r="G17" s="28"/>
      <c r="H17" s="28"/>
      <c r="I17" s="28"/>
      <c r="J17" s="28"/>
      <c r="K17" s="28"/>
      <c r="L17" s="28"/>
      <c r="M17" s="28"/>
      <c r="N17" s="28"/>
      <c r="O17" s="28"/>
      <c r="P17" s="28"/>
      <c r="Q17" s="1"/>
    </row>
    <row r="18" spans="1:17" ht="15.75" customHeight="1" x14ac:dyDescent="0.2">
      <c r="A18" s="29"/>
      <c r="B18" s="26"/>
      <c r="C18" s="26"/>
      <c r="D18" s="37" t="s">
        <v>63</v>
      </c>
      <c r="E18" s="27" t="s">
        <v>64</v>
      </c>
      <c r="F18" s="27" t="s">
        <v>65</v>
      </c>
      <c r="G18" s="28"/>
      <c r="H18" s="28"/>
      <c r="I18" s="28"/>
      <c r="J18" s="28"/>
      <c r="K18" s="28"/>
      <c r="L18" s="28"/>
      <c r="M18" s="28"/>
      <c r="N18" s="28"/>
      <c r="O18" s="28"/>
      <c r="P18" s="28"/>
      <c r="Q18" s="1"/>
    </row>
    <row r="19" spans="1:17" ht="15.75" customHeight="1" x14ac:dyDescent="0.2">
      <c r="A19" s="29"/>
      <c r="B19" s="26"/>
      <c r="C19" s="26"/>
      <c r="D19" s="37" t="s">
        <v>66</v>
      </c>
      <c r="E19" s="27" t="s">
        <v>67</v>
      </c>
      <c r="F19" s="27" t="s">
        <v>68</v>
      </c>
      <c r="G19" s="28"/>
      <c r="H19" s="28"/>
      <c r="I19" s="28"/>
      <c r="J19" s="28"/>
      <c r="K19" s="28"/>
      <c r="L19" s="28"/>
      <c r="M19" s="28"/>
      <c r="N19" s="28"/>
      <c r="O19" s="28"/>
      <c r="P19" s="28"/>
      <c r="Q19" s="1"/>
    </row>
    <row r="20" spans="1:17" ht="15.75" customHeight="1" x14ac:dyDescent="0.2">
      <c r="A20" s="29"/>
      <c r="B20" s="26"/>
      <c r="C20" s="26"/>
      <c r="D20" s="37" t="s">
        <v>69</v>
      </c>
      <c r="E20" s="27" t="s">
        <v>70</v>
      </c>
      <c r="F20" s="27" t="s">
        <v>71</v>
      </c>
      <c r="G20" s="28"/>
      <c r="H20" s="28"/>
      <c r="I20" s="28"/>
      <c r="J20" s="28"/>
      <c r="K20" s="28"/>
      <c r="L20" s="28"/>
      <c r="M20" s="28"/>
      <c r="N20" s="28"/>
      <c r="O20" s="28"/>
      <c r="P20" s="28"/>
      <c r="Q20" s="1"/>
    </row>
    <row r="21" spans="1:17" ht="15.75" customHeight="1" x14ac:dyDescent="0.2">
      <c r="A21" s="29" t="s">
        <v>72</v>
      </c>
      <c r="B21" s="26" t="s">
        <v>73</v>
      </c>
      <c r="C21" s="26" t="s">
        <v>74</v>
      </c>
      <c r="D21" s="37"/>
      <c r="E21" s="27" t="s">
        <v>75</v>
      </c>
      <c r="F21" s="27" t="s">
        <v>76</v>
      </c>
      <c r="G21" s="28"/>
      <c r="H21" s="28"/>
      <c r="I21" s="28"/>
      <c r="J21" s="28"/>
      <c r="K21" s="28"/>
      <c r="L21" s="28"/>
      <c r="M21" s="28"/>
      <c r="N21" s="28"/>
      <c r="O21" s="28"/>
      <c r="P21" s="28"/>
      <c r="Q21" s="1"/>
    </row>
    <row r="22" spans="1:17" ht="15.75" customHeight="1" x14ac:dyDescent="0.2">
      <c r="A22" s="29"/>
      <c r="B22" s="26"/>
      <c r="C22" s="26"/>
      <c r="D22" s="37" t="s">
        <v>77</v>
      </c>
      <c r="E22" s="27" t="s">
        <v>78</v>
      </c>
      <c r="F22" s="27" t="s">
        <v>79</v>
      </c>
      <c r="G22" s="28"/>
      <c r="H22" s="28"/>
      <c r="I22" s="28"/>
      <c r="J22" s="28"/>
      <c r="K22" s="28"/>
      <c r="L22" s="28"/>
      <c r="M22" s="28"/>
      <c r="N22" s="28"/>
      <c r="O22" s="28"/>
      <c r="P22" s="28"/>
      <c r="Q22" s="1"/>
    </row>
    <row r="23" spans="1:17" ht="15.75" customHeight="1" x14ac:dyDescent="0.2">
      <c r="A23" s="35"/>
      <c r="B23" s="36"/>
      <c r="C23" s="37"/>
      <c r="D23" s="26" t="s">
        <v>80</v>
      </c>
      <c r="E23" s="27" t="s">
        <v>81</v>
      </c>
      <c r="F23" s="27" t="s">
        <v>82</v>
      </c>
      <c r="G23" s="28"/>
      <c r="H23" s="28"/>
      <c r="I23" s="28"/>
      <c r="J23" s="28"/>
      <c r="K23" s="28"/>
      <c r="L23" s="28"/>
      <c r="M23" s="28"/>
      <c r="N23" s="28"/>
      <c r="O23" s="28"/>
      <c r="P23" s="28"/>
      <c r="Q23" s="1"/>
    </row>
    <row r="24" spans="1:17" ht="38.25" x14ac:dyDescent="0.2">
      <c r="A24" s="29"/>
      <c r="B24" s="26"/>
      <c r="C24" s="26"/>
      <c r="D24" s="37" t="s">
        <v>83</v>
      </c>
      <c r="E24" s="27" t="s">
        <v>84</v>
      </c>
      <c r="F24" s="27" t="s">
        <v>85</v>
      </c>
      <c r="G24" s="28"/>
      <c r="H24" s="28"/>
      <c r="I24" s="28"/>
      <c r="J24" s="28"/>
      <c r="K24" s="28"/>
      <c r="L24" s="28"/>
      <c r="M24" s="27"/>
      <c r="N24" s="28"/>
      <c r="O24" s="27"/>
      <c r="P24" s="27"/>
      <c r="Q24" s="1"/>
    </row>
    <row r="25" spans="1:17" ht="38.25" x14ac:dyDescent="0.2">
      <c r="A25" s="29"/>
      <c r="B25" s="26"/>
      <c r="C25" s="26"/>
      <c r="D25" s="37" t="s">
        <v>86</v>
      </c>
      <c r="E25" s="27" t="s">
        <v>87</v>
      </c>
      <c r="F25" s="27" t="s">
        <v>88</v>
      </c>
      <c r="G25" s="28"/>
      <c r="H25" s="28"/>
      <c r="I25" s="28"/>
      <c r="J25" s="28"/>
      <c r="K25" s="28"/>
      <c r="L25" s="28"/>
      <c r="M25" s="27"/>
      <c r="N25" s="28"/>
      <c r="O25" s="27"/>
      <c r="P25" s="28"/>
      <c r="Q25" s="1"/>
    </row>
    <row r="26" spans="1:17" ht="102" x14ac:dyDescent="0.2">
      <c r="A26" s="29" t="s">
        <v>89</v>
      </c>
      <c r="B26" s="26" t="s">
        <v>90</v>
      </c>
      <c r="C26" s="26" t="s">
        <v>91</v>
      </c>
      <c r="D26" s="37"/>
      <c r="E26" s="27" t="s">
        <v>92</v>
      </c>
      <c r="F26" s="27" t="s">
        <v>93</v>
      </c>
      <c r="G26" s="28"/>
      <c r="H26" s="28"/>
      <c r="I26" s="28"/>
      <c r="J26" s="28"/>
      <c r="K26" s="28"/>
      <c r="L26" s="28"/>
      <c r="M26" s="27"/>
      <c r="N26" s="28"/>
      <c r="O26" s="27"/>
      <c r="P26" s="27"/>
      <c r="Q26" s="1"/>
    </row>
    <row r="27" spans="1:17" ht="38.25" x14ac:dyDescent="0.2">
      <c r="A27" s="29"/>
      <c r="B27" s="26"/>
      <c r="C27" s="26"/>
      <c r="D27" s="37" t="s">
        <v>94</v>
      </c>
      <c r="E27" s="27" t="s">
        <v>95</v>
      </c>
      <c r="F27" s="27" t="s">
        <v>96</v>
      </c>
      <c r="G27" s="28"/>
      <c r="H27" s="28"/>
      <c r="I27" s="28"/>
      <c r="J27" s="28"/>
      <c r="K27" s="28"/>
      <c r="L27" s="28"/>
      <c r="M27" s="28"/>
      <c r="N27" s="28"/>
      <c r="O27" s="28"/>
      <c r="P27" s="28"/>
      <c r="Q27" s="1"/>
    </row>
    <row r="28" spans="1:17" ht="38.25" x14ac:dyDescent="0.2">
      <c r="A28" s="29"/>
      <c r="B28" s="26"/>
      <c r="C28" s="26"/>
      <c r="D28" s="37" t="s">
        <v>97</v>
      </c>
      <c r="E28" s="27" t="s">
        <v>98</v>
      </c>
      <c r="F28" s="27" t="s">
        <v>99</v>
      </c>
      <c r="G28" s="28"/>
      <c r="H28" s="28"/>
      <c r="I28" s="28"/>
      <c r="J28" s="28"/>
      <c r="K28" s="28"/>
      <c r="L28" s="28"/>
      <c r="M28" s="28"/>
      <c r="N28" s="28"/>
      <c r="O28" s="28"/>
      <c r="P28" s="28"/>
      <c r="Q28" s="1"/>
    </row>
    <row r="29" spans="1:17" ht="25.5" x14ac:dyDescent="0.2">
      <c r="A29" s="29"/>
      <c r="B29" s="26"/>
      <c r="C29" s="26"/>
      <c r="D29" s="37" t="s">
        <v>100</v>
      </c>
      <c r="E29" s="27" t="s">
        <v>101</v>
      </c>
      <c r="F29" s="27" t="s">
        <v>102</v>
      </c>
      <c r="G29" s="28"/>
      <c r="H29" s="28"/>
      <c r="I29" s="28"/>
      <c r="J29" s="28"/>
      <c r="K29" s="28"/>
      <c r="L29" s="28"/>
      <c r="M29" s="28"/>
      <c r="N29" s="28"/>
      <c r="O29" s="28"/>
      <c r="P29" s="28"/>
      <c r="Q29" s="1"/>
    </row>
    <row r="30" spans="1:17" ht="38.25" x14ac:dyDescent="0.2">
      <c r="A30" s="29"/>
      <c r="B30" s="26"/>
      <c r="C30" s="26"/>
      <c r="D30" s="37" t="s">
        <v>103</v>
      </c>
      <c r="E30" s="27" t="s">
        <v>104</v>
      </c>
      <c r="F30" s="27" t="s">
        <v>105</v>
      </c>
      <c r="G30" s="28"/>
      <c r="H30" s="28"/>
      <c r="I30" s="28"/>
      <c r="J30" s="28"/>
      <c r="K30" s="28"/>
      <c r="L30" s="28"/>
      <c r="M30" s="28"/>
      <c r="N30" s="28"/>
      <c r="O30" s="28"/>
      <c r="P30" s="28"/>
      <c r="Q30" s="1"/>
    </row>
    <row r="31" spans="1:17" ht="76.5" x14ac:dyDescent="0.2">
      <c r="A31" s="29" t="s">
        <v>106</v>
      </c>
      <c r="B31" s="26" t="s">
        <v>107</v>
      </c>
      <c r="C31" s="26" t="s">
        <v>108</v>
      </c>
      <c r="D31" s="37"/>
      <c r="E31" s="27" t="s">
        <v>109</v>
      </c>
      <c r="F31" s="27" t="s">
        <v>110</v>
      </c>
      <c r="G31" s="28"/>
      <c r="H31" s="28"/>
      <c r="I31" s="28"/>
      <c r="J31" s="28"/>
      <c r="K31" s="28"/>
      <c r="L31" s="28"/>
      <c r="M31" s="27"/>
      <c r="N31" s="28"/>
      <c r="O31" s="27"/>
      <c r="P31" s="27"/>
      <c r="Q31" s="1"/>
    </row>
    <row r="32" spans="1:17" ht="25.5" x14ac:dyDescent="0.2">
      <c r="A32" s="29"/>
      <c r="B32" s="26"/>
      <c r="C32" s="26"/>
      <c r="D32" s="37" t="s">
        <v>111</v>
      </c>
      <c r="E32" s="27" t="s">
        <v>112</v>
      </c>
      <c r="F32" s="27" t="s">
        <v>113</v>
      </c>
      <c r="G32" s="28"/>
      <c r="H32" s="28"/>
      <c r="I32" s="28"/>
      <c r="J32" s="28"/>
      <c r="K32" s="28"/>
      <c r="L32" s="28"/>
      <c r="M32" s="28"/>
      <c r="N32" s="28"/>
      <c r="O32" s="28"/>
      <c r="P32" s="28"/>
      <c r="Q32" s="1"/>
    </row>
    <row r="33" spans="1:17" ht="38.25" x14ac:dyDescent="0.2">
      <c r="A33" s="35"/>
      <c r="B33" s="36"/>
      <c r="C33" s="37"/>
      <c r="D33" s="26" t="s">
        <v>114</v>
      </c>
      <c r="E33" s="27" t="s">
        <v>115</v>
      </c>
      <c r="F33" s="27" t="s">
        <v>116</v>
      </c>
      <c r="G33" s="28"/>
      <c r="H33" s="28"/>
      <c r="I33" s="28"/>
      <c r="J33" s="28"/>
      <c r="K33" s="28"/>
      <c r="L33" s="28"/>
      <c r="M33" s="28"/>
      <c r="N33" s="28"/>
      <c r="O33" s="28"/>
      <c r="P33" s="28"/>
      <c r="Q33" s="1"/>
    </row>
    <row r="34" spans="1:17" ht="38.25" x14ac:dyDescent="0.2">
      <c r="A34" s="29"/>
      <c r="B34" s="26"/>
      <c r="C34" s="26"/>
      <c r="D34" s="37" t="s">
        <v>117</v>
      </c>
      <c r="E34" s="27" t="s">
        <v>118</v>
      </c>
      <c r="F34" s="27" t="s">
        <v>119</v>
      </c>
      <c r="G34" s="28"/>
      <c r="H34" s="28"/>
      <c r="I34" s="28"/>
      <c r="J34" s="28"/>
      <c r="K34" s="28"/>
      <c r="L34" s="28"/>
      <c r="M34" s="28"/>
      <c r="N34" s="28"/>
      <c r="O34" s="28"/>
      <c r="P34" s="28"/>
      <c r="Q34" s="1"/>
    </row>
    <row r="35" spans="1:17" ht="38.25" x14ac:dyDescent="0.2">
      <c r="A35" s="29"/>
      <c r="B35" s="26"/>
      <c r="C35" s="26"/>
      <c r="D35" s="37" t="s">
        <v>120</v>
      </c>
      <c r="E35" s="27" t="s">
        <v>121</v>
      </c>
      <c r="F35" s="27" t="s">
        <v>122</v>
      </c>
      <c r="G35" s="28"/>
      <c r="H35" s="28"/>
      <c r="I35" s="28"/>
      <c r="J35" s="28"/>
      <c r="K35" s="28"/>
      <c r="L35" s="28"/>
      <c r="M35" s="28"/>
      <c r="N35" s="28"/>
      <c r="O35" s="28"/>
      <c r="P35" s="28"/>
      <c r="Q35" s="1"/>
    </row>
    <row r="36" spans="1:17" ht="76.5" x14ac:dyDescent="0.2">
      <c r="A36" s="29" t="s">
        <v>123</v>
      </c>
      <c r="B36" s="26" t="s">
        <v>124</v>
      </c>
      <c r="C36" s="26" t="s">
        <v>125</v>
      </c>
      <c r="D36" s="37"/>
      <c r="E36" s="27" t="s">
        <v>126</v>
      </c>
      <c r="F36" s="39" t="s">
        <v>127</v>
      </c>
      <c r="G36" s="28"/>
      <c r="H36" s="28"/>
      <c r="I36" s="28"/>
      <c r="J36" s="28"/>
      <c r="K36" s="28"/>
      <c r="L36" s="28"/>
      <c r="M36" s="40"/>
      <c r="N36" s="28"/>
      <c r="O36" s="27"/>
      <c r="P36" s="28"/>
      <c r="Q36" s="1"/>
    </row>
    <row r="37" spans="1:17" ht="25.5" x14ac:dyDescent="0.2">
      <c r="A37" s="29"/>
      <c r="B37" s="26"/>
      <c r="C37" s="26"/>
      <c r="D37" s="37" t="s">
        <v>128</v>
      </c>
      <c r="E37" s="27" t="s">
        <v>129</v>
      </c>
      <c r="F37" s="27" t="s">
        <v>130</v>
      </c>
      <c r="G37" s="28"/>
      <c r="H37" s="28"/>
      <c r="I37" s="28"/>
      <c r="J37" s="28"/>
      <c r="K37" s="28"/>
      <c r="L37" s="28"/>
      <c r="M37" s="28"/>
      <c r="N37" s="28"/>
      <c r="O37" s="28"/>
      <c r="P37" s="28"/>
      <c r="Q37" s="1"/>
    </row>
    <row r="38" spans="1:17" ht="25.5" x14ac:dyDescent="0.2">
      <c r="A38" s="35"/>
      <c r="B38" s="36"/>
      <c r="C38" s="37"/>
      <c r="D38" s="26" t="s">
        <v>131</v>
      </c>
      <c r="E38" s="27" t="s">
        <v>132</v>
      </c>
      <c r="F38" s="27" t="s">
        <v>133</v>
      </c>
      <c r="G38" s="28"/>
      <c r="H38" s="28"/>
      <c r="I38" s="28"/>
      <c r="J38" s="28"/>
      <c r="K38" s="28"/>
      <c r="L38" s="28"/>
      <c r="M38" s="28"/>
      <c r="N38" s="28"/>
      <c r="O38" s="28"/>
      <c r="P38" s="28"/>
      <c r="Q38" s="1"/>
    </row>
    <row r="39" spans="1:17" ht="25.5" x14ac:dyDescent="0.2">
      <c r="A39" s="29"/>
      <c r="B39" s="26"/>
      <c r="C39" s="26"/>
      <c r="D39" s="37" t="s">
        <v>134</v>
      </c>
      <c r="E39" s="27" t="s">
        <v>135</v>
      </c>
      <c r="F39" s="27" t="s">
        <v>136</v>
      </c>
      <c r="G39" s="28"/>
      <c r="H39" s="28"/>
      <c r="I39" s="28"/>
      <c r="J39" s="28"/>
      <c r="K39" s="28"/>
      <c r="L39" s="28"/>
      <c r="M39" s="28"/>
      <c r="N39" s="28"/>
      <c r="O39" s="28"/>
      <c r="P39" s="28"/>
      <c r="Q39" s="1"/>
    </row>
    <row r="40" spans="1:17" ht="38.25" x14ac:dyDescent="0.2">
      <c r="A40" s="29"/>
      <c r="B40" s="26"/>
      <c r="C40" s="26"/>
      <c r="D40" s="37" t="s">
        <v>137</v>
      </c>
      <c r="E40" s="27" t="s">
        <v>138</v>
      </c>
      <c r="F40" s="27" t="s">
        <v>139</v>
      </c>
      <c r="G40" s="28"/>
      <c r="H40" s="28"/>
      <c r="I40" s="28"/>
      <c r="J40" s="28"/>
      <c r="K40" s="28"/>
      <c r="L40" s="28"/>
      <c r="M40" s="28"/>
      <c r="N40" s="28"/>
      <c r="O40" s="28"/>
      <c r="P40" s="28"/>
      <c r="Q40" s="1"/>
    </row>
    <row r="41" spans="1:17" ht="89.25" x14ac:dyDescent="0.2">
      <c r="A41" s="29" t="s">
        <v>140</v>
      </c>
      <c r="B41" s="26" t="s">
        <v>141</v>
      </c>
      <c r="C41" s="26" t="s">
        <v>142</v>
      </c>
      <c r="D41" s="37" t="s">
        <v>143</v>
      </c>
      <c r="E41" s="27" t="s">
        <v>144</v>
      </c>
      <c r="F41" s="27" t="s">
        <v>145</v>
      </c>
      <c r="G41" s="28"/>
      <c r="H41" s="28"/>
      <c r="I41" s="28"/>
      <c r="J41" s="28"/>
      <c r="K41" s="28"/>
      <c r="L41" s="28"/>
      <c r="M41" s="28"/>
      <c r="N41" s="28"/>
      <c r="O41" s="28"/>
      <c r="P41" s="28"/>
      <c r="Q41" s="1"/>
    </row>
    <row r="42" spans="1:17" ht="89.25" x14ac:dyDescent="0.2">
      <c r="A42" s="29" t="s">
        <v>146</v>
      </c>
      <c r="B42" s="26" t="s">
        <v>147</v>
      </c>
      <c r="C42" s="26" t="s">
        <v>142</v>
      </c>
      <c r="D42" s="37" t="s">
        <v>148</v>
      </c>
      <c r="E42" s="27" t="s">
        <v>149</v>
      </c>
      <c r="F42" s="27" t="s">
        <v>150</v>
      </c>
      <c r="G42" s="28"/>
      <c r="H42" s="28"/>
      <c r="I42" s="28"/>
      <c r="J42" s="28"/>
      <c r="K42" s="28"/>
      <c r="L42" s="28"/>
      <c r="M42" s="28"/>
      <c r="N42" s="28"/>
      <c r="O42" s="28"/>
      <c r="P42" s="28"/>
      <c r="Q42" s="1"/>
    </row>
    <row r="43" spans="1:17" ht="89.25" x14ac:dyDescent="0.2">
      <c r="A43" s="29" t="s">
        <v>151</v>
      </c>
      <c r="B43" s="26" t="s">
        <v>152</v>
      </c>
      <c r="C43" s="26" t="s">
        <v>142</v>
      </c>
      <c r="D43" s="37" t="s">
        <v>153</v>
      </c>
      <c r="E43" s="27" t="s">
        <v>154</v>
      </c>
      <c r="F43" s="27" t="s">
        <v>155</v>
      </c>
      <c r="G43" s="28"/>
      <c r="H43" s="28"/>
      <c r="I43" s="28"/>
      <c r="J43" s="28"/>
      <c r="K43" s="28"/>
      <c r="L43" s="28"/>
      <c r="M43" s="28"/>
      <c r="N43" s="28"/>
      <c r="O43" s="28"/>
      <c r="P43" s="28"/>
      <c r="Q43" s="1"/>
    </row>
    <row r="44" spans="1:17" ht="102" x14ac:dyDescent="0.2">
      <c r="A44" s="29" t="s">
        <v>156</v>
      </c>
      <c r="B44" s="26" t="s">
        <v>157</v>
      </c>
      <c r="C44" s="26" t="s">
        <v>142</v>
      </c>
      <c r="D44" s="37" t="s">
        <v>158</v>
      </c>
      <c r="E44" s="27" t="s">
        <v>159</v>
      </c>
      <c r="F44" s="27" t="s">
        <v>160</v>
      </c>
      <c r="G44" s="28"/>
      <c r="H44" s="28"/>
      <c r="I44" s="28"/>
      <c r="J44" s="28"/>
      <c r="K44" s="28"/>
      <c r="L44" s="28"/>
      <c r="M44" s="28"/>
      <c r="N44" s="28"/>
      <c r="O44" s="28"/>
      <c r="P44" s="28"/>
      <c r="Q44" s="1"/>
    </row>
    <row r="45" spans="1:17" ht="89.25" x14ac:dyDescent="0.2">
      <c r="A45" s="29" t="s">
        <v>161</v>
      </c>
      <c r="B45" s="26" t="s">
        <v>162</v>
      </c>
      <c r="C45" s="26" t="s">
        <v>142</v>
      </c>
      <c r="D45" s="37" t="s">
        <v>163</v>
      </c>
      <c r="E45" s="27" t="s">
        <v>164</v>
      </c>
      <c r="F45" s="27" t="s">
        <v>165</v>
      </c>
      <c r="G45" s="28"/>
      <c r="H45" s="28"/>
      <c r="I45" s="28"/>
      <c r="J45" s="28"/>
      <c r="K45" s="28"/>
      <c r="L45" s="28"/>
      <c r="M45" s="40"/>
      <c r="N45" s="28"/>
      <c r="O45" s="27"/>
      <c r="P45" s="27"/>
      <c r="Q45" s="1"/>
    </row>
    <row r="46" spans="1:17" ht="89.25" x14ac:dyDescent="0.2">
      <c r="A46" s="29" t="s">
        <v>166</v>
      </c>
      <c r="B46" s="26" t="s">
        <v>167</v>
      </c>
      <c r="C46" s="26" t="s">
        <v>142</v>
      </c>
      <c r="D46" s="37" t="s">
        <v>168</v>
      </c>
      <c r="E46" s="27" t="s">
        <v>169</v>
      </c>
      <c r="F46" s="27" t="s">
        <v>170</v>
      </c>
      <c r="G46" s="28"/>
      <c r="H46" s="28"/>
      <c r="I46" s="28"/>
      <c r="J46" s="28"/>
      <c r="K46" s="28"/>
      <c r="L46" s="28"/>
      <c r="M46" s="28"/>
      <c r="N46" s="28"/>
      <c r="O46" s="28"/>
      <c r="P46" s="28"/>
      <c r="Q46" s="1"/>
    </row>
    <row r="47" spans="1:17" ht="89.25" x14ac:dyDescent="0.2">
      <c r="A47" s="29" t="s">
        <v>171</v>
      </c>
      <c r="B47" s="26" t="s">
        <v>172</v>
      </c>
      <c r="C47" s="26" t="s">
        <v>142</v>
      </c>
      <c r="D47" s="37" t="s">
        <v>173</v>
      </c>
      <c r="E47" s="27" t="s">
        <v>174</v>
      </c>
      <c r="F47" s="27" t="s">
        <v>175</v>
      </c>
      <c r="G47" s="28"/>
      <c r="H47" s="28"/>
      <c r="I47" s="28"/>
      <c r="J47" s="28"/>
      <c r="K47" s="28"/>
      <c r="L47" s="28"/>
      <c r="M47" s="28"/>
      <c r="N47" s="28"/>
      <c r="O47" s="28"/>
      <c r="P47" s="28"/>
      <c r="Q47" s="1"/>
    </row>
    <row r="48" spans="1:17" ht="89.25" x14ac:dyDescent="0.2">
      <c r="A48" s="35" t="s">
        <v>176</v>
      </c>
      <c r="B48" s="36" t="s">
        <v>177</v>
      </c>
      <c r="C48" s="37" t="s">
        <v>142</v>
      </c>
      <c r="D48" s="26" t="s">
        <v>178</v>
      </c>
      <c r="E48" s="27" t="s">
        <v>179</v>
      </c>
      <c r="F48" s="27" t="s">
        <v>180</v>
      </c>
      <c r="G48" s="28"/>
      <c r="H48" s="28"/>
      <c r="I48" s="28"/>
      <c r="J48" s="28"/>
      <c r="K48" s="28"/>
      <c r="L48" s="28"/>
      <c r="M48" s="28"/>
      <c r="N48" s="28"/>
      <c r="O48" s="28"/>
      <c r="P48" s="28"/>
      <c r="Q48" s="1"/>
    </row>
    <row r="49" spans="1:17" ht="89.25" x14ac:dyDescent="0.2">
      <c r="A49" s="29" t="s">
        <v>181</v>
      </c>
      <c r="B49" s="26" t="s">
        <v>182</v>
      </c>
      <c r="C49" s="26" t="s">
        <v>142</v>
      </c>
      <c r="D49" s="37" t="s">
        <v>183</v>
      </c>
      <c r="E49" s="37" t="s">
        <v>184</v>
      </c>
      <c r="F49" s="37" t="s">
        <v>185</v>
      </c>
      <c r="G49" s="28"/>
      <c r="H49" s="28"/>
      <c r="I49" s="28"/>
      <c r="J49" s="28"/>
      <c r="K49" s="28"/>
      <c r="L49" s="28"/>
      <c r="M49" s="28"/>
      <c r="N49" s="28"/>
      <c r="O49" s="28"/>
      <c r="P49" s="28"/>
      <c r="Q49" s="1"/>
    </row>
    <row r="50" spans="1:17" ht="102" x14ac:dyDescent="0.2">
      <c r="A50" s="29" t="s">
        <v>72</v>
      </c>
      <c r="B50" s="26" t="s">
        <v>186</v>
      </c>
      <c r="C50" s="26" t="s">
        <v>142</v>
      </c>
      <c r="D50" s="37" t="s">
        <v>187</v>
      </c>
      <c r="E50" s="27" t="s">
        <v>188</v>
      </c>
      <c r="F50" s="37" t="s">
        <v>189</v>
      </c>
      <c r="G50" s="28"/>
      <c r="H50" s="28"/>
      <c r="I50" s="28"/>
      <c r="J50" s="28"/>
      <c r="K50" s="28"/>
      <c r="L50" s="28"/>
      <c r="M50" s="28"/>
      <c r="N50" s="28"/>
      <c r="O50" s="28"/>
      <c r="P50" s="28"/>
      <c r="Q50" s="1"/>
    </row>
    <row r="51" spans="1:17" ht="89.25" x14ac:dyDescent="0.2">
      <c r="A51" s="29" t="s">
        <v>190</v>
      </c>
      <c r="B51" s="26" t="s">
        <v>191</v>
      </c>
      <c r="C51" s="26" t="s">
        <v>142</v>
      </c>
      <c r="D51" s="37" t="s">
        <v>192</v>
      </c>
      <c r="E51" s="27" t="s">
        <v>193</v>
      </c>
      <c r="F51" s="27" t="s">
        <v>194</v>
      </c>
      <c r="G51" s="28"/>
      <c r="H51" s="28"/>
      <c r="I51" s="28"/>
      <c r="J51" s="28"/>
      <c r="K51" s="28"/>
      <c r="L51" s="28"/>
      <c r="M51" s="28"/>
      <c r="N51" s="28"/>
      <c r="O51" s="28"/>
      <c r="P51" s="28"/>
      <c r="Q51" s="1"/>
    </row>
    <row r="52" spans="1:17" ht="89.25" x14ac:dyDescent="0.2">
      <c r="A52" s="29" t="s">
        <v>195</v>
      </c>
      <c r="B52" s="26" t="s">
        <v>196</v>
      </c>
      <c r="C52" s="26" t="s">
        <v>142</v>
      </c>
      <c r="D52" s="37" t="s">
        <v>197</v>
      </c>
      <c r="E52" s="27" t="s">
        <v>198</v>
      </c>
      <c r="F52" s="37" t="s">
        <v>199</v>
      </c>
      <c r="G52" s="28"/>
      <c r="H52" s="28"/>
      <c r="I52" s="28"/>
      <c r="J52" s="28"/>
      <c r="K52" s="28"/>
      <c r="L52" s="28"/>
      <c r="M52" s="28"/>
      <c r="N52" s="28"/>
      <c r="O52" s="28"/>
      <c r="P52" s="28"/>
      <c r="Q52" s="1"/>
    </row>
    <row r="53" spans="1:17" ht="89.25" x14ac:dyDescent="0.2">
      <c r="A53" s="29" t="s">
        <v>200</v>
      </c>
      <c r="B53" s="26" t="s">
        <v>201</v>
      </c>
      <c r="C53" s="26" t="s">
        <v>142</v>
      </c>
      <c r="D53" s="37" t="s">
        <v>202</v>
      </c>
      <c r="E53" s="27" t="s">
        <v>203</v>
      </c>
      <c r="F53" s="27" t="s">
        <v>204</v>
      </c>
      <c r="G53" s="28"/>
      <c r="H53" s="28"/>
      <c r="I53" s="28"/>
      <c r="J53" s="28"/>
      <c r="K53" s="28"/>
      <c r="L53" s="28"/>
      <c r="M53" s="28"/>
      <c r="N53" s="28"/>
      <c r="O53" s="28"/>
      <c r="P53" s="28"/>
      <c r="Q53" s="1"/>
    </row>
    <row r="54" spans="1:17" ht="89.25" x14ac:dyDescent="0.2">
      <c r="A54" s="29" t="s">
        <v>205</v>
      </c>
      <c r="B54" s="26" t="s">
        <v>206</v>
      </c>
      <c r="C54" s="26" t="s">
        <v>142</v>
      </c>
      <c r="D54" s="37" t="s">
        <v>207</v>
      </c>
      <c r="E54" s="27" t="s">
        <v>208</v>
      </c>
      <c r="F54" s="27" t="s">
        <v>209</v>
      </c>
      <c r="G54" s="28"/>
      <c r="H54" s="28"/>
      <c r="I54" s="28"/>
      <c r="J54" s="28"/>
      <c r="K54" s="28"/>
      <c r="L54" s="28"/>
      <c r="M54" s="28"/>
      <c r="N54" s="28"/>
      <c r="O54" s="28"/>
      <c r="P54" s="28"/>
      <c r="Q54" s="1"/>
    </row>
    <row r="55" spans="1:17" ht="89.25" x14ac:dyDescent="0.2">
      <c r="A55" s="29" t="s">
        <v>210</v>
      </c>
      <c r="B55" s="26" t="s">
        <v>211</v>
      </c>
      <c r="C55" s="26" t="s">
        <v>142</v>
      </c>
      <c r="D55" s="37" t="s">
        <v>212</v>
      </c>
      <c r="E55" s="27" t="s">
        <v>213</v>
      </c>
      <c r="F55" s="27" t="s">
        <v>214</v>
      </c>
      <c r="G55" s="28"/>
      <c r="H55" s="28"/>
      <c r="I55" s="28"/>
      <c r="J55" s="28"/>
      <c r="K55" s="28"/>
      <c r="L55" s="28"/>
      <c r="M55" s="27"/>
      <c r="N55" s="28"/>
      <c r="O55" s="27"/>
      <c r="P55" s="27"/>
      <c r="Q55" s="1"/>
    </row>
    <row r="56" spans="1:17" ht="89.25" x14ac:dyDescent="0.2">
      <c r="A56" s="35" t="s">
        <v>215</v>
      </c>
      <c r="B56" s="36" t="s">
        <v>216</v>
      </c>
      <c r="C56" s="37" t="s">
        <v>142</v>
      </c>
      <c r="D56" s="26" t="s">
        <v>217</v>
      </c>
      <c r="E56" s="27" t="s">
        <v>218</v>
      </c>
      <c r="F56" s="27" t="s">
        <v>219</v>
      </c>
      <c r="G56" s="28"/>
      <c r="H56" s="28"/>
      <c r="I56" s="28"/>
      <c r="J56" s="28"/>
      <c r="K56" s="28"/>
      <c r="L56" s="28"/>
      <c r="M56" s="28"/>
      <c r="N56" s="28"/>
      <c r="O56" s="28"/>
      <c r="P56" s="28"/>
      <c r="Q56" s="1"/>
    </row>
    <row r="57" spans="1:17" ht="89.25" x14ac:dyDescent="0.2">
      <c r="A57" s="29" t="s">
        <v>220</v>
      </c>
      <c r="B57" s="26" t="s">
        <v>221</v>
      </c>
      <c r="C57" s="26" t="s">
        <v>142</v>
      </c>
      <c r="D57" s="37" t="s">
        <v>222</v>
      </c>
      <c r="E57" s="27" t="s">
        <v>223</v>
      </c>
      <c r="F57" s="27" t="s">
        <v>224</v>
      </c>
      <c r="G57" s="28"/>
      <c r="H57" s="28"/>
      <c r="I57" s="28"/>
      <c r="J57" s="28"/>
      <c r="K57" s="28"/>
      <c r="L57" s="28"/>
      <c r="M57" s="28"/>
      <c r="N57" s="28"/>
      <c r="O57" s="28"/>
      <c r="P57" s="28"/>
      <c r="Q57" s="1"/>
    </row>
    <row r="58" spans="1:17" ht="89.25" x14ac:dyDescent="0.2">
      <c r="A58" s="29" t="s">
        <v>225</v>
      </c>
      <c r="B58" s="26" t="s">
        <v>226</v>
      </c>
      <c r="C58" s="26" t="s">
        <v>142</v>
      </c>
      <c r="D58" s="37" t="s">
        <v>227</v>
      </c>
      <c r="E58" s="27" t="s">
        <v>228</v>
      </c>
      <c r="F58" s="27" t="s">
        <v>229</v>
      </c>
      <c r="G58" s="28"/>
      <c r="H58" s="28"/>
      <c r="I58" s="28"/>
      <c r="J58" s="28"/>
      <c r="K58" s="28"/>
      <c r="L58" s="28"/>
      <c r="M58" s="28"/>
      <c r="N58" s="28"/>
      <c r="O58" s="28"/>
      <c r="P58" s="28"/>
      <c r="Q58" s="1"/>
    </row>
    <row r="59" spans="1:17" ht="89.25" x14ac:dyDescent="0.2">
      <c r="A59" s="29" t="s">
        <v>230</v>
      </c>
      <c r="B59" s="26" t="s">
        <v>231</v>
      </c>
      <c r="C59" s="26" t="s">
        <v>142</v>
      </c>
      <c r="D59" s="37" t="s">
        <v>232</v>
      </c>
      <c r="E59" s="27" t="s">
        <v>233</v>
      </c>
      <c r="F59" s="27" t="s">
        <v>234</v>
      </c>
      <c r="G59" s="28"/>
      <c r="H59" s="28"/>
      <c r="I59" s="28"/>
      <c r="J59" s="28"/>
      <c r="K59" s="28"/>
      <c r="L59" s="30"/>
      <c r="M59" s="27"/>
      <c r="N59" s="28"/>
      <c r="O59" s="27"/>
      <c r="P59" s="27"/>
      <c r="Q59" s="1"/>
    </row>
    <row r="60" spans="1:17" ht="89.25" x14ac:dyDescent="0.2">
      <c r="A60" s="29" t="s">
        <v>89</v>
      </c>
      <c r="B60" s="26" t="s">
        <v>235</v>
      </c>
      <c r="C60" s="26" t="s">
        <v>142</v>
      </c>
      <c r="D60" s="37" t="s">
        <v>236</v>
      </c>
      <c r="E60" s="27" t="s">
        <v>237</v>
      </c>
      <c r="F60" s="27" t="s">
        <v>238</v>
      </c>
      <c r="G60" s="28"/>
      <c r="H60" s="28"/>
      <c r="I60" s="28"/>
      <c r="J60" s="28"/>
      <c r="K60" s="28"/>
      <c r="L60" s="28"/>
      <c r="M60" s="28"/>
      <c r="N60" s="28"/>
      <c r="O60" s="28"/>
      <c r="P60" s="28"/>
      <c r="Q60" s="1"/>
    </row>
    <row r="61" spans="1:17" ht="89.25" x14ac:dyDescent="0.2">
      <c r="A61" s="29" t="s">
        <v>239</v>
      </c>
      <c r="B61" s="26" t="s">
        <v>240</v>
      </c>
      <c r="C61" s="26" t="s">
        <v>142</v>
      </c>
      <c r="D61" s="37" t="s">
        <v>241</v>
      </c>
      <c r="E61" s="27" t="s">
        <v>242</v>
      </c>
      <c r="F61" s="27" t="s">
        <v>243</v>
      </c>
      <c r="G61" s="28"/>
      <c r="H61" s="28"/>
      <c r="I61" s="28"/>
      <c r="J61" s="28"/>
      <c r="K61" s="28"/>
      <c r="L61" s="28"/>
      <c r="M61" s="28"/>
      <c r="N61" s="28"/>
      <c r="O61" s="28"/>
      <c r="P61" s="28"/>
      <c r="Q61" s="1"/>
    </row>
    <row r="62" spans="1:17" ht="89.25" x14ac:dyDescent="0.2">
      <c r="A62" s="29" t="s">
        <v>244</v>
      </c>
      <c r="B62" s="26" t="s">
        <v>245</v>
      </c>
      <c r="C62" s="26" t="s">
        <v>142</v>
      </c>
      <c r="D62" s="37" t="s">
        <v>246</v>
      </c>
      <c r="E62" s="27" t="s">
        <v>247</v>
      </c>
      <c r="F62" s="27" t="s">
        <v>248</v>
      </c>
      <c r="G62" s="28"/>
      <c r="H62" s="28"/>
      <c r="I62" s="28"/>
      <c r="J62" s="28"/>
      <c r="K62" s="28"/>
      <c r="L62" s="28"/>
      <c r="M62" s="28"/>
      <c r="N62" s="28"/>
      <c r="O62" s="28"/>
      <c r="P62" s="28"/>
      <c r="Q62" s="1"/>
    </row>
    <row r="63" spans="1:17" ht="102" x14ac:dyDescent="0.2">
      <c r="A63" s="29" t="s">
        <v>249</v>
      </c>
      <c r="B63" s="26" t="s">
        <v>250</v>
      </c>
      <c r="C63" s="26" t="s">
        <v>142</v>
      </c>
      <c r="D63" s="37" t="s">
        <v>251</v>
      </c>
      <c r="E63" s="27" t="s">
        <v>252</v>
      </c>
      <c r="F63" s="27" t="s">
        <v>253</v>
      </c>
      <c r="G63" s="28"/>
      <c r="H63" s="28"/>
      <c r="I63" s="28"/>
      <c r="J63" s="28"/>
      <c r="K63" s="28"/>
      <c r="L63" s="28"/>
      <c r="M63" s="28"/>
      <c r="N63" s="28"/>
      <c r="O63" s="28"/>
      <c r="P63" s="28"/>
      <c r="Q63" s="1"/>
    </row>
    <row r="64" spans="1:17" ht="89.25" x14ac:dyDescent="0.2">
      <c r="A64" s="29" t="s">
        <v>254</v>
      </c>
      <c r="B64" s="26" t="s">
        <v>255</v>
      </c>
      <c r="C64" s="26" t="s">
        <v>142</v>
      </c>
      <c r="D64" s="37" t="s">
        <v>256</v>
      </c>
      <c r="E64" s="27" t="s">
        <v>257</v>
      </c>
      <c r="F64" s="27" t="s">
        <v>258</v>
      </c>
      <c r="G64" s="28"/>
      <c r="H64" s="28"/>
      <c r="I64" s="28"/>
      <c r="J64" s="28"/>
      <c r="K64" s="28"/>
      <c r="L64" s="28"/>
      <c r="M64" s="27"/>
      <c r="N64" s="28"/>
      <c r="O64" s="27"/>
      <c r="P64" s="27"/>
      <c r="Q64" s="1"/>
    </row>
    <row r="65" spans="1:17" ht="102" x14ac:dyDescent="0.2">
      <c r="A65" s="29" t="s">
        <v>259</v>
      </c>
      <c r="B65" s="26" t="s">
        <v>260</v>
      </c>
      <c r="C65" s="26" t="s">
        <v>142</v>
      </c>
      <c r="D65" s="37" t="s">
        <v>261</v>
      </c>
      <c r="E65" s="27" t="s">
        <v>262</v>
      </c>
      <c r="F65" s="27" t="s">
        <v>263</v>
      </c>
      <c r="G65" s="28"/>
      <c r="H65" s="28"/>
      <c r="I65" s="28"/>
      <c r="J65" s="28"/>
      <c r="K65" s="28"/>
      <c r="L65" s="28"/>
      <c r="M65" s="28"/>
      <c r="N65" s="28"/>
      <c r="O65" s="28"/>
      <c r="P65" s="28"/>
      <c r="Q65" s="1"/>
    </row>
    <row r="66" spans="1:17" ht="89.25" x14ac:dyDescent="0.2">
      <c r="A66" s="35" t="s">
        <v>264</v>
      </c>
      <c r="B66" s="36" t="s">
        <v>265</v>
      </c>
      <c r="C66" s="37" t="s">
        <v>142</v>
      </c>
      <c r="D66" s="26" t="s">
        <v>266</v>
      </c>
      <c r="E66" s="27" t="s">
        <v>267</v>
      </c>
      <c r="F66" s="27" t="s">
        <v>268</v>
      </c>
      <c r="G66" s="28"/>
      <c r="H66" s="28"/>
      <c r="I66" s="28"/>
      <c r="J66" s="28"/>
      <c r="K66" s="28"/>
      <c r="L66" s="28"/>
      <c r="M66" s="28"/>
      <c r="N66" s="28"/>
      <c r="O66" s="28"/>
      <c r="P66" s="28"/>
      <c r="Q66" s="1"/>
    </row>
    <row r="67" spans="1:17" ht="89.25" x14ac:dyDescent="0.2">
      <c r="A67" s="29" t="s">
        <v>269</v>
      </c>
      <c r="B67" s="26" t="s">
        <v>270</v>
      </c>
      <c r="C67" s="26" t="s">
        <v>142</v>
      </c>
      <c r="D67" s="37" t="s">
        <v>271</v>
      </c>
      <c r="E67" s="27" t="s">
        <v>272</v>
      </c>
      <c r="F67" s="27" t="s">
        <v>273</v>
      </c>
      <c r="G67" s="28"/>
      <c r="H67" s="28"/>
      <c r="I67" s="28"/>
      <c r="J67" s="28"/>
      <c r="K67" s="28"/>
      <c r="L67" s="28"/>
      <c r="M67" s="28"/>
      <c r="N67" s="28"/>
      <c r="O67" s="28"/>
      <c r="P67" s="28"/>
      <c r="Q67" s="1"/>
    </row>
    <row r="68" spans="1:17" ht="89.25" x14ac:dyDescent="0.2">
      <c r="A68" s="29" t="s">
        <v>274</v>
      </c>
      <c r="B68" s="26" t="s">
        <v>275</v>
      </c>
      <c r="C68" s="26" t="s">
        <v>142</v>
      </c>
      <c r="D68" s="37" t="s">
        <v>276</v>
      </c>
      <c r="E68" s="27" t="s">
        <v>277</v>
      </c>
      <c r="F68" s="27" t="s">
        <v>278</v>
      </c>
      <c r="G68" s="28"/>
      <c r="H68" s="28"/>
      <c r="I68" s="28"/>
      <c r="J68" s="28"/>
      <c r="K68" s="28"/>
      <c r="L68" s="28"/>
      <c r="M68" s="28"/>
      <c r="N68" s="28"/>
      <c r="O68" s="28"/>
      <c r="P68" s="28"/>
      <c r="Q68" s="1"/>
    </row>
    <row r="69" spans="1:17" ht="89.25" x14ac:dyDescent="0.2">
      <c r="A69" s="29" t="s">
        <v>279</v>
      </c>
      <c r="B69" s="26" t="s">
        <v>280</v>
      </c>
      <c r="C69" s="26" t="s">
        <v>142</v>
      </c>
      <c r="D69" s="37" t="s">
        <v>281</v>
      </c>
      <c r="E69" s="27" t="s">
        <v>282</v>
      </c>
      <c r="F69" s="27" t="s">
        <v>283</v>
      </c>
      <c r="G69" s="28"/>
      <c r="H69" s="28"/>
      <c r="I69" s="28"/>
      <c r="J69" s="28"/>
      <c r="K69" s="28"/>
      <c r="L69" s="28"/>
      <c r="M69" s="27"/>
      <c r="N69" s="28"/>
      <c r="O69" s="27"/>
      <c r="P69" s="28"/>
      <c r="Q69" s="1"/>
    </row>
    <row r="70" spans="1:17" ht="89.25" x14ac:dyDescent="0.2">
      <c r="A70" s="29" t="s">
        <v>106</v>
      </c>
      <c r="B70" s="26" t="s">
        <v>284</v>
      </c>
      <c r="C70" s="26" t="s">
        <v>142</v>
      </c>
      <c r="D70" s="37" t="s">
        <v>285</v>
      </c>
      <c r="E70" s="27" t="s">
        <v>286</v>
      </c>
      <c r="F70" s="27" t="s">
        <v>287</v>
      </c>
      <c r="G70" s="28"/>
      <c r="H70" s="28"/>
      <c r="I70" s="28"/>
      <c r="J70" s="28"/>
      <c r="K70" s="28"/>
      <c r="L70" s="28"/>
      <c r="M70" s="27"/>
      <c r="N70" s="28"/>
      <c r="O70" s="27"/>
      <c r="P70" s="27"/>
      <c r="Q70" s="1"/>
    </row>
    <row r="71" spans="1:17" ht="89.25" x14ac:dyDescent="0.2">
      <c r="A71" s="29" t="s">
        <v>288</v>
      </c>
      <c r="B71" s="26" t="s">
        <v>289</v>
      </c>
      <c r="C71" s="26" t="s">
        <v>142</v>
      </c>
      <c r="D71" s="37" t="s">
        <v>290</v>
      </c>
      <c r="E71" s="27" t="s">
        <v>291</v>
      </c>
      <c r="F71" s="27" t="s">
        <v>292</v>
      </c>
      <c r="G71" s="28"/>
      <c r="H71" s="28"/>
      <c r="I71" s="28"/>
      <c r="J71" s="28"/>
      <c r="K71" s="28"/>
      <c r="L71" s="28"/>
      <c r="M71" s="28"/>
      <c r="N71" s="28"/>
      <c r="O71" s="28"/>
      <c r="P71" s="28"/>
      <c r="Q71" s="1"/>
    </row>
    <row r="72" spans="1:17" ht="89.25" x14ac:dyDescent="0.2">
      <c r="A72" s="29" t="s">
        <v>293</v>
      </c>
      <c r="B72" s="26" t="s">
        <v>294</v>
      </c>
      <c r="C72" s="26" t="s">
        <v>142</v>
      </c>
      <c r="D72" s="37" t="s">
        <v>295</v>
      </c>
      <c r="E72" s="27" t="s">
        <v>296</v>
      </c>
      <c r="F72" s="27" t="s">
        <v>297</v>
      </c>
      <c r="G72" s="28"/>
      <c r="H72" s="28"/>
      <c r="I72" s="28"/>
      <c r="J72" s="28"/>
      <c r="K72" s="28"/>
      <c r="L72" s="28"/>
      <c r="M72" s="28"/>
      <c r="N72" s="28"/>
      <c r="O72" s="28"/>
      <c r="P72" s="28"/>
      <c r="Q72" s="1"/>
    </row>
    <row r="73" spans="1:17" ht="89.25" x14ac:dyDescent="0.2">
      <c r="A73" s="29" t="s">
        <v>190</v>
      </c>
      <c r="B73" s="26" t="s">
        <v>298</v>
      </c>
      <c r="C73" s="26" t="s">
        <v>142</v>
      </c>
      <c r="D73" s="37" t="s">
        <v>299</v>
      </c>
      <c r="E73" s="27" t="s">
        <v>300</v>
      </c>
      <c r="F73" s="27" t="s">
        <v>301</v>
      </c>
      <c r="G73" s="28"/>
      <c r="H73" s="28"/>
      <c r="I73" s="28"/>
      <c r="J73" s="28"/>
      <c r="K73" s="28"/>
      <c r="L73" s="28"/>
      <c r="M73" s="28"/>
      <c r="N73" s="28"/>
      <c r="O73" s="28"/>
      <c r="P73" s="28"/>
      <c r="Q73" s="1"/>
    </row>
    <row r="74" spans="1:17" ht="89.25" x14ac:dyDescent="0.2">
      <c r="A74" s="29" t="s">
        <v>195</v>
      </c>
      <c r="B74" s="26" t="s">
        <v>302</v>
      </c>
      <c r="C74" s="26" t="s">
        <v>142</v>
      </c>
      <c r="D74" s="37" t="s">
        <v>303</v>
      </c>
      <c r="E74" s="27" t="s">
        <v>304</v>
      </c>
      <c r="F74" s="27" t="s">
        <v>305</v>
      </c>
      <c r="G74" s="28"/>
      <c r="H74" s="28"/>
      <c r="I74" s="28"/>
      <c r="J74" s="28"/>
      <c r="K74" s="28"/>
      <c r="L74" s="28"/>
      <c r="M74" s="28"/>
      <c r="N74" s="28"/>
      <c r="O74" s="28"/>
      <c r="P74" s="28"/>
      <c r="Q74" s="1"/>
    </row>
    <row r="75" spans="1:17" ht="89.25" x14ac:dyDescent="0.2">
      <c r="A75" s="29" t="s">
        <v>200</v>
      </c>
      <c r="B75" s="26" t="s">
        <v>306</v>
      </c>
      <c r="C75" s="26" t="s">
        <v>142</v>
      </c>
      <c r="D75" s="37" t="s">
        <v>307</v>
      </c>
      <c r="E75" s="27" t="s">
        <v>308</v>
      </c>
      <c r="F75" s="27" t="s">
        <v>309</v>
      </c>
      <c r="G75" s="28"/>
      <c r="H75" s="28"/>
      <c r="I75" s="28"/>
      <c r="J75" s="28"/>
      <c r="K75" s="28"/>
      <c r="L75" s="28"/>
      <c r="M75" s="27"/>
      <c r="N75" s="28"/>
      <c r="O75" s="27"/>
      <c r="P75" s="27"/>
      <c r="Q75" s="1"/>
    </row>
    <row r="76" spans="1:17" ht="89.25" x14ac:dyDescent="0.2">
      <c r="A76" s="35" t="s">
        <v>205</v>
      </c>
      <c r="B76" s="36" t="s">
        <v>310</v>
      </c>
      <c r="C76" s="37" t="s">
        <v>142</v>
      </c>
      <c r="D76" s="26" t="s">
        <v>311</v>
      </c>
      <c r="E76" s="27" t="s">
        <v>312</v>
      </c>
      <c r="F76" s="27" t="s">
        <v>313</v>
      </c>
      <c r="G76" s="28"/>
      <c r="H76" s="28"/>
      <c r="I76" s="28"/>
      <c r="J76" s="28"/>
      <c r="K76" s="28"/>
      <c r="L76" s="28"/>
      <c r="M76" s="28"/>
      <c r="N76" s="28"/>
      <c r="O76" s="28"/>
      <c r="P76" s="28"/>
      <c r="Q76" s="1"/>
    </row>
    <row r="77" spans="1:17" ht="89.25" x14ac:dyDescent="0.2">
      <c r="A77" s="29" t="s">
        <v>210</v>
      </c>
      <c r="B77" s="26" t="s">
        <v>314</v>
      </c>
      <c r="C77" s="26" t="s">
        <v>142</v>
      </c>
      <c r="D77" s="37" t="s">
        <v>315</v>
      </c>
      <c r="E77" s="27" t="s">
        <v>316</v>
      </c>
      <c r="F77" s="27" t="s">
        <v>317</v>
      </c>
      <c r="G77" s="30"/>
      <c r="H77" s="28"/>
      <c r="I77" s="28"/>
      <c r="J77" s="28"/>
      <c r="K77" s="28"/>
      <c r="L77" s="28"/>
      <c r="M77" s="28"/>
      <c r="N77" s="28"/>
      <c r="O77" s="28"/>
      <c r="P77" s="28"/>
      <c r="Q77" s="1"/>
    </row>
    <row r="78" spans="1:17" ht="89.25" x14ac:dyDescent="0.2">
      <c r="A78" s="29" t="s">
        <v>215</v>
      </c>
      <c r="B78" s="26" t="s">
        <v>318</v>
      </c>
      <c r="C78" s="26" t="s">
        <v>142</v>
      </c>
      <c r="D78" s="37" t="s">
        <v>319</v>
      </c>
      <c r="E78" s="27" t="s">
        <v>320</v>
      </c>
      <c r="F78" s="27" t="s">
        <v>321</v>
      </c>
      <c r="G78" s="30"/>
      <c r="H78" s="28"/>
      <c r="I78" s="28"/>
      <c r="J78" s="28"/>
      <c r="K78" s="28"/>
      <c r="L78" s="28"/>
      <c r="M78" s="28"/>
      <c r="N78" s="28"/>
      <c r="O78" s="28"/>
      <c r="P78" s="28"/>
      <c r="Q78" s="1"/>
    </row>
    <row r="79" spans="1:17" ht="89.25" x14ac:dyDescent="0.2">
      <c r="A79" s="29" t="s">
        <v>220</v>
      </c>
      <c r="B79" s="26" t="s">
        <v>322</v>
      </c>
      <c r="C79" s="26" t="s">
        <v>142</v>
      </c>
      <c r="D79" s="37" t="s">
        <v>323</v>
      </c>
      <c r="E79" s="27" t="s">
        <v>324</v>
      </c>
      <c r="F79" s="27" t="s">
        <v>325</v>
      </c>
      <c r="G79" s="30"/>
      <c r="H79" s="28"/>
      <c r="I79" s="28"/>
      <c r="J79" s="28"/>
      <c r="K79" s="28"/>
      <c r="L79" s="28"/>
      <c r="M79" s="28"/>
      <c r="N79" s="28"/>
      <c r="O79" s="28"/>
      <c r="P79" s="28"/>
      <c r="Q79" s="1"/>
    </row>
    <row r="80" spans="1:17" ht="89.25" x14ac:dyDescent="0.2">
      <c r="A80" s="29" t="s">
        <v>225</v>
      </c>
      <c r="B80" s="26" t="s">
        <v>326</v>
      </c>
      <c r="C80" s="26" t="s">
        <v>142</v>
      </c>
      <c r="D80" s="37" t="s">
        <v>327</v>
      </c>
      <c r="E80" s="27" t="s">
        <v>328</v>
      </c>
      <c r="F80" s="27" t="s">
        <v>329</v>
      </c>
      <c r="G80" s="30"/>
      <c r="H80" s="28"/>
      <c r="I80" s="28"/>
      <c r="J80" s="28"/>
      <c r="K80" s="28"/>
      <c r="L80" s="28"/>
      <c r="M80" s="28"/>
      <c r="N80" s="28"/>
      <c r="O80" s="28"/>
      <c r="P80" s="28"/>
      <c r="Q80" s="1"/>
    </row>
    <row r="81" spans="1:17" ht="102" x14ac:dyDescent="0.2">
      <c r="A81" s="29" t="s">
        <v>230</v>
      </c>
      <c r="B81" s="26" t="s">
        <v>330</v>
      </c>
      <c r="C81" s="26" t="s">
        <v>142</v>
      </c>
      <c r="D81" s="37" t="s">
        <v>331</v>
      </c>
      <c r="E81" s="27" t="s">
        <v>332</v>
      </c>
      <c r="F81" s="27" t="s">
        <v>333</v>
      </c>
      <c r="G81" s="30"/>
      <c r="H81" s="28"/>
      <c r="I81" s="28"/>
      <c r="J81" s="28"/>
      <c r="K81" s="28"/>
      <c r="L81" s="28"/>
      <c r="M81" s="28"/>
      <c r="N81" s="28"/>
      <c r="O81" s="28"/>
      <c r="P81" s="28"/>
      <c r="Q81" s="1"/>
    </row>
    <row r="82" spans="1:17" ht="89.25" x14ac:dyDescent="0.2">
      <c r="A82" s="29" t="s">
        <v>89</v>
      </c>
      <c r="B82" s="26" t="s">
        <v>334</v>
      </c>
      <c r="C82" s="26" t="s">
        <v>142</v>
      </c>
      <c r="D82" s="37" t="s">
        <v>335</v>
      </c>
      <c r="E82" s="27" t="s">
        <v>336</v>
      </c>
      <c r="F82" s="27" t="s">
        <v>337</v>
      </c>
      <c r="G82" s="30"/>
      <c r="H82" s="28"/>
      <c r="I82" s="28"/>
      <c r="J82" s="28"/>
      <c r="K82" s="28"/>
      <c r="L82" s="28"/>
      <c r="M82" s="28"/>
      <c r="N82" s="28"/>
      <c r="O82" s="28"/>
      <c r="P82" s="28"/>
      <c r="Q82" s="1"/>
    </row>
    <row r="83" spans="1:17" ht="51" x14ac:dyDescent="0.2">
      <c r="A83" s="29" t="s">
        <v>239</v>
      </c>
      <c r="B83" s="26" t="s">
        <v>338</v>
      </c>
      <c r="C83" s="26" t="s">
        <v>339</v>
      </c>
      <c r="D83" s="37" t="s">
        <v>340</v>
      </c>
      <c r="E83" s="27" t="s">
        <v>341</v>
      </c>
      <c r="F83" s="27" t="s">
        <v>342</v>
      </c>
      <c r="G83" s="30"/>
      <c r="H83" s="28"/>
      <c r="I83" s="28"/>
      <c r="J83" s="28"/>
      <c r="K83" s="28"/>
      <c r="L83" s="28"/>
      <c r="M83" s="27"/>
      <c r="N83" s="28"/>
      <c r="O83" s="27"/>
      <c r="P83" s="27"/>
      <c r="Q83" s="1"/>
    </row>
    <row r="84" spans="1:17" ht="51" x14ac:dyDescent="0.2">
      <c r="A84" s="29" t="s">
        <v>244</v>
      </c>
      <c r="B84" s="26" t="s">
        <v>343</v>
      </c>
      <c r="C84" s="26" t="s">
        <v>344</v>
      </c>
      <c r="D84" s="37" t="s">
        <v>345</v>
      </c>
      <c r="E84" s="27" t="s">
        <v>346</v>
      </c>
      <c r="F84" s="27" t="s">
        <v>347</v>
      </c>
      <c r="G84" s="30"/>
      <c r="H84" s="28"/>
      <c r="I84" s="28"/>
      <c r="J84" s="28"/>
      <c r="K84" s="28"/>
      <c r="L84" s="28"/>
      <c r="M84" s="27"/>
      <c r="N84" s="28"/>
      <c r="O84" s="27"/>
      <c r="P84" s="27"/>
      <c r="Q84" s="1"/>
    </row>
    <row r="85" spans="1:17" ht="51" x14ac:dyDescent="0.2">
      <c r="A85" s="29" t="s">
        <v>249</v>
      </c>
      <c r="B85" s="26" t="s">
        <v>348</v>
      </c>
      <c r="C85" s="26" t="s">
        <v>349</v>
      </c>
      <c r="D85" s="37" t="s">
        <v>350</v>
      </c>
      <c r="E85" s="27" t="s">
        <v>351</v>
      </c>
      <c r="F85" s="27" t="s">
        <v>352</v>
      </c>
      <c r="G85" s="30"/>
      <c r="H85" s="28"/>
      <c r="I85" s="28"/>
      <c r="J85" s="28"/>
      <c r="K85" s="28"/>
      <c r="L85" s="28"/>
      <c r="M85" s="27"/>
      <c r="N85" s="28"/>
      <c r="O85" s="27"/>
      <c r="P85" s="27"/>
      <c r="Q85" s="1"/>
    </row>
    <row r="86" spans="1:17" ht="51" x14ac:dyDescent="0.2">
      <c r="A86" s="35" t="s">
        <v>254</v>
      </c>
      <c r="B86" s="36" t="s">
        <v>353</v>
      </c>
      <c r="C86" s="37" t="s">
        <v>354</v>
      </c>
      <c r="D86" s="26" t="s">
        <v>355</v>
      </c>
      <c r="E86" s="27" t="s">
        <v>356</v>
      </c>
      <c r="F86" s="27" t="s">
        <v>357</v>
      </c>
      <c r="G86" s="28"/>
      <c r="H86" s="28"/>
      <c r="I86" s="28"/>
      <c r="J86" s="28"/>
      <c r="K86" s="28"/>
      <c r="L86" s="28"/>
      <c r="M86" s="28"/>
      <c r="N86" s="28"/>
      <c r="O86" s="28"/>
      <c r="P86" s="28"/>
      <c r="Q86" s="1"/>
    </row>
    <row r="87" spans="1:17" x14ac:dyDescent="0.25">
      <c r="A87" s="12"/>
      <c r="B87" s="11"/>
      <c r="C87" s="11"/>
      <c r="D87" s="10"/>
      <c r="E87" s="10"/>
      <c r="F87" s="10"/>
      <c r="G87" s="7"/>
      <c r="H87" s="5"/>
      <c r="I87" s="13"/>
      <c r="J87" s="7"/>
      <c r="K87" s="7"/>
      <c r="L87" s="5"/>
      <c r="M87" s="7"/>
      <c r="N87" s="7"/>
      <c r="O87" s="13"/>
      <c r="P87" s="13"/>
      <c r="Q87" s="1"/>
    </row>
    <row r="88" spans="1:17" x14ac:dyDescent="0.25">
      <c r="A88" s="12"/>
      <c r="B88" s="11"/>
      <c r="C88" s="11"/>
      <c r="D88" s="10"/>
      <c r="E88" s="13"/>
      <c r="F88" s="10"/>
      <c r="G88" s="7"/>
      <c r="H88" s="5"/>
      <c r="I88" s="7"/>
      <c r="J88" s="7"/>
      <c r="K88" s="7"/>
      <c r="L88" s="5"/>
      <c r="M88" s="7"/>
      <c r="N88" s="7"/>
      <c r="O88" s="7"/>
      <c r="P88" s="7"/>
      <c r="Q88" s="1"/>
    </row>
    <row r="89" spans="1:17" x14ac:dyDescent="0.25">
      <c r="A89" s="12"/>
      <c r="B89" s="11"/>
      <c r="C89" s="11"/>
      <c r="D89" s="10"/>
      <c r="E89" s="13"/>
      <c r="F89" s="15"/>
      <c r="G89" s="7"/>
      <c r="H89" s="5"/>
      <c r="I89" s="7"/>
      <c r="J89" s="7"/>
      <c r="K89" s="7"/>
      <c r="L89" s="5"/>
      <c r="M89" s="13"/>
      <c r="N89" s="7"/>
      <c r="O89" s="13"/>
      <c r="P89" s="13"/>
      <c r="Q89" s="1"/>
    </row>
    <row r="90" spans="1:17" x14ac:dyDescent="0.25">
      <c r="A90" s="12"/>
      <c r="B90" s="11"/>
      <c r="C90" s="11"/>
      <c r="D90" s="10"/>
      <c r="E90" s="13"/>
      <c r="F90" s="10"/>
      <c r="G90" s="7"/>
      <c r="H90" s="5"/>
      <c r="I90" s="7"/>
      <c r="J90" s="7"/>
      <c r="K90" s="7"/>
      <c r="L90" s="5"/>
      <c r="M90" s="7"/>
      <c r="N90" s="7"/>
      <c r="O90" s="7"/>
      <c r="P90" s="7"/>
      <c r="Q90" s="1"/>
    </row>
    <row r="91" spans="1:17" x14ac:dyDescent="0.25">
      <c r="A91" s="12"/>
      <c r="B91" s="11"/>
      <c r="C91" s="11"/>
      <c r="D91" s="10"/>
      <c r="E91" s="13"/>
      <c r="F91" s="15"/>
      <c r="G91" s="7"/>
      <c r="H91" s="5"/>
      <c r="I91" s="7"/>
      <c r="J91" s="7"/>
      <c r="K91" s="7"/>
      <c r="L91" s="5"/>
      <c r="M91" s="13"/>
      <c r="N91" s="7"/>
      <c r="O91" s="13"/>
      <c r="P91" s="13"/>
      <c r="Q91" s="1"/>
    </row>
    <row r="92" spans="1:17" x14ac:dyDescent="0.25">
      <c r="A92" s="12"/>
      <c r="B92" s="11"/>
      <c r="C92" s="11"/>
      <c r="D92" s="10"/>
      <c r="E92" s="13"/>
      <c r="F92" s="15"/>
      <c r="G92" s="7"/>
      <c r="H92" s="5"/>
      <c r="I92" s="7"/>
      <c r="J92" s="7"/>
      <c r="K92" s="7"/>
      <c r="L92" s="5"/>
      <c r="M92" s="7"/>
      <c r="N92" s="7"/>
      <c r="O92" s="7"/>
      <c r="P92" s="7"/>
      <c r="Q92" s="1"/>
    </row>
    <row r="93" spans="1:17" x14ac:dyDescent="0.25">
      <c r="A93" s="8"/>
      <c r="B93" s="9"/>
      <c r="C93" s="10"/>
      <c r="D93" s="11"/>
      <c r="E93" s="13"/>
      <c r="F93" s="21"/>
      <c r="G93" s="7"/>
      <c r="H93" s="7"/>
      <c r="I93" s="7"/>
      <c r="J93" s="7"/>
      <c r="K93" s="7"/>
      <c r="L93" s="7"/>
      <c r="M93" s="7"/>
      <c r="N93" s="7"/>
      <c r="O93" s="7"/>
      <c r="P93" s="7"/>
      <c r="Q93" s="1"/>
    </row>
    <row r="94" spans="1:17" x14ac:dyDescent="0.25">
      <c r="A94" s="12"/>
      <c r="B94" s="11"/>
      <c r="C94" s="11"/>
      <c r="D94" s="10"/>
      <c r="E94" s="13"/>
      <c r="F94" s="15"/>
      <c r="G94" s="7"/>
      <c r="H94" s="5"/>
      <c r="I94" s="7"/>
      <c r="J94" s="7"/>
      <c r="K94" s="7"/>
      <c r="L94" s="5"/>
      <c r="M94" s="13"/>
      <c r="N94" s="7"/>
      <c r="O94" s="13"/>
      <c r="P94" s="13"/>
      <c r="Q94" s="1"/>
    </row>
    <row r="95" spans="1:17" x14ac:dyDescent="0.25">
      <c r="A95" s="12"/>
      <c r="B95" s="11"/>
      <c r="C95" s="11"/>
      <c r="D95" s="10"/>
      <c r="E95" s="13"/>
      <c r="F95" s="15"/>
      <c r="G95" s="7"/>
      <c r="H95" s="5"/>
      <c r="I95" s="7"/>
      <c r="J95" s="7"/>
      <c r="K95" s="7"/>
      <c r="L95" s="5"/>
      <c r="M95" s="7"/>
      <c r="N95" s="7"/>
      <c r="O95" s="7"/>
      <c r="P95" s="7"/>
      <c r="Q95" s="1"/>
    </row>
    <row r="96" spans="1:17" x14ac:dyDescent="0.25">
      <c r="A96" s="12"/>
      <c r="B96" s="11"/>
      <c r="C96" s="11"/>
      <c r="D96" s="10"/>
      <c r="E96" s="13"/>
      <c r="F96" s="15"/>
      <c r="G96" s="7"/>
      <c r="H96" s="5"/>
      <c r="I96" s="7"/>
      <c r="J96" s="7"/>
      <c r="K96" s="7"/>
      <c r="L96" s="5"/>
      <c r="M96" s="7"/>
      <c r="N96" s="7"/>
      <c r="O96" s="13"/>
      <c r="P96" s="13"/>
      <c r="Q96" s="1"/>
    </row>
    <row r="97" spans="1:17" x14ac:dyDescent="0.25">
      <c r="A97" s="12"/>
      <c r="B97" s="11"/>
      <c r="C97" s="11"/>
      <c r="D97" s="10"/>
      <c r="E97" s="13"/>
      <c r="F97" s="15"/>
      <c r="G97" s="7"/>
      <c r="H97" s="5"/>
      <c r="I97" s="7"/>
      <c r="J97" s="7"/>
      <c r="K97" s="7"/>
      <c r="L97" s="5"/>
      <c r="M97" s="17"/>
      <c r="N97" s="7"/>
      <c r="O97" s="13"/>
      <c r="P97" s="13"/>
      <c r="Q97" s="1"/>
    </row>
    <row r="98" spans="1:17" x14ac:dyDescent="0.25">
      <c r="A98" s="12"/>
      <c r="B98" s="11"/>
      <c r="C98" s="11"/>
      <c r="D98" s="10"/>
      <c r="E98" s="13"/>
      <c r="F98" s="15"/>
      <c r="G98" s="7"/>
      <c r="H98" s="5"/>
      <c r="I98" s="7"/>
      <c r="J98" s="7"/>
      <c r="K98" s="7"/>
      <c r="L98" s="5"/>
      <c r="M98" s="7"/>
      <c r="N98" s="7"/>
      <c r="O98" s="7"/>
      <c r="P98" s="7"/>
      <c r="Q98" s="1"/>
    </row>
    <row r="99" spans="1:17" x14ac:dyDescent="0.25">
      <c r="A99" s="12"/>
      <c r="B99" s="11"/>
      <c r="C99" s="11"/>
      <c r="D99" s="10"/>
      <c r="E99" s="13"/>
      <c r="F99" s="15"/>
      <c r="G99" s="7"/>
      <c r="H99" s="5"/>
      <c r="I99" s="7"/>
      <c r="J99" s="7"/>
      <c r="K99" s="7"/>
      <c r="L99" s="5"/>
      <c r="M99" s="7"/>
      <c r="N99" s="7"/>
      <c r="O99" s="7"/>
      <c r="P99" s="7"/>
      <c r="Q99" s="1"/>
    </row>
    <row r="100" spans="1:17" x14ac:dyDescent="0.25">
      <c r="A100" s="12"/>
      <c r="B100" s="11"/>
      <c r="C100" s="11"/>
      <c r="D100" s="10"/>
      <c r="E100" s="13"/>
      <c r="F100" s="15"/>
      <c r="G100" s="7"/>
      <c r="H100" s="5"/>
      <c r="I100" s="7"/>
      <c r="J100" s="7"/>
      <c r="K100" s="7"/>
      <c r="L100" s="5"/>
      <c r="M100" s="7"/>
      <c r="N100" s="7"/>
      <c r="O100" s="7"/>
      <c r="P100" s="7"/>
      <c r="Q100" s="1"/>
    </row>
    <row r="101" spans="1:17" x14ac:dyDescent="0.25">
      <c r="A101" s="12"/>
      <c r="B101" s="11"/>
      <c r="C101" s="11"/>
      <c r="D101" s="10"/>
      <c r="E101" s="13"/>
      <c r="F101" s="15"/>
      <c r="G101" s="7"/>
      <c r="H101" s="5"/>
      <c r="I101" s="7"/>
      <c r="J101" s="7"/>
      <c r="K101" s="7"/>
      <c r="L101" s="5"/>
      <c r="M101" s="7"/>
      <c r="N101" s="7"/>
      <c r="O101" s="7"/>
      <c r="P101" s="7"/>
      <c r="Q101" s="1"/>
    </row>
    <row r="102" spans="1:17" x14ac:dyDescent="0.25">
      <c r="A102" s="12"/>
      <c r="B102" s="11"/>
      <c r="C102" s="11"/>
      <c r="D102" s="10"/>
      <c r="E102" s="13"/>
      <c r="F102" s="15"/>
      <c r="G102" s="7"/>
      <c r="H102" s="5"/>
      <c r="I102" s="7"/>
      <c r="J102" s="7"/>
      <c r="K102" s="7"/>
      <c r="L102" s="5"/>
      <c r="M102" s="7"/>
      <c r="N102" s="7"/>
      <c r="O102" s="7"/>
      <c r="P102" s="7"/>
      <c r="Q102" s="1"/>
    </row>
    <row r="103" spans="1:17" x14ac:dyDescent="0.25">
      <c r="A103" s="12"/>
      <c r="B103" s="11"/>
      <c r="C103" s="11"/>
      <c r="D103" s="10"/>
      <c r="E103" s="13"/>
      <c r="F103" s="15"/>
      <c r="G103" s="7"/>
      <c r="H103" s="5"/>
      <c r="I103" s="7"/>
      <c r="J103" s="7"/>
      <c r="K103" s="7"/>
      <c r="L103" s="5"/>
      <c r="M103" s="14"/>
      <c r="N103" s="7"/>
      <c r="O103" s="13"/>
      <c r="P103" s="13"/>
      <c r="Q103" s="1"/>
    </row>
    <row r="104" spans="1:17" x14ac:dyDescent="0.25">
      <c r="A104" s="8"/>
      <c r="B104" s="9"/>
      <c r="C104" s="10"/>
      <c r="D104" s="11"/>
      <c r="E104" s="13"/>
      <c r="F104" s="21"/>
      <c r="G104" s="7"/>
      <c r="H104" s="7"/>
      <c r="I104" s="7"/>
      <c r="J104" s="7"/>
      <c r="K104" s="7"/>
      <c r="L104" s="7"/>
      <c r="M104" s="7"/>
      <c r="N104" s="7"/>
      <c r="O104" s="7"/>
      <c r="P104" s="7"/>
      <c r="Q104" s="1"/>
    </row>
    <row r="105" spans="1:17" x14ac:dyDescent="0.25">
      <c r="A105" s="12"/>
      <c r="B105" s="11"/>
      <c r="C105" s="11"/>
      <c r="D105" s="10"/>
      <c r="E105" s="10"/>
      <c r="F105" s="10"/>
      <c r="G105" s="7"/>
      <c r="H105" s="5"/>
      <c r="I105" s="7"/>
      <c r="J105" s="7"/>
      <c r="K105" s="7"/>
      <c r="L105" s="5"/>
      <c r="M105" s="14"/>
      <c r="N105" s="7"/>
      <c r="O105" s="7"/>
      <c r="P105" s="7"/>
      <c r="Q105" s="1"/>
    </row>
    <row r="106" spans="1:17" x14ac:dyDescent="0.25">
      <c r="A106" s="12"/>
      <c r="B106" s="11"/>
      <c r="C106" s="11"/>
      <c r="D106" s="10"/>
      <c r="E106" s="13"/>
      <c r="F106" s="10"/>
      <c r="G106" s="7"/>
      <c r="H106" s="5"/>
      <c r="I106" s="7"/>
      <c r="J106" s="7"/>
      <c r="K106" s="7"/>
      <c r="L106" s="5"/>
      <c r="M106" s="7"/>
      <c r="N106" s="7"/>
      <c r="O106" s="7"/>
      <c r="P106" s="7"/>
      <c r="Q106" s="1"/>
    </row>
    <row r="107" spans="1:17" x14ac:dyDescent="0.25">
      <c r="A107" s="12"/>
      <c r="B107" s="11"/>
      <c r="C107" s="11"/>
      <c r="D107" s="10"/>
      <c r="E107" s="13"/>
      <c r="F107" s="15"/>
      <c r="G107" s="7"/>
      <c r="H107" s="5"/>
      <c r="I107" s="7"/>
      <c r="J107" s="7"/>
      <c r="K107" s="7"/>
      <c r="L107" s="5"/>
      <c r="M107" s="13"/>
      <c r="N107" s="13"/>
      <c r="O107" s="13"/>
      <c r="P107" s="13"/>
      <c r="Q107" s="1"/>
    </row>
    <row r="108" spans="1:17" x14ac:dyDescent="0.25">
      <c r="A108" s="12"/>
      <c r="B108" s="11"/>
      <c r="C108" s="11"/>
      <c r="D108" s="10"/>
      <c r="E108" s="13"/>
      <c r="F108" s="10"/>
      <c r="G108" s="7"/>
      <c r="H108" s="5"/>
      <c r="I108" s="7"/>
      <c r="J108" s="7"/>
      <c r="K108" s="7"/>
      <c r="L108" s="5"/>
      <c r="M108" s="1"/>
      <c r="N108" s="7"/>
      <c r="O108" s="7"/>
      <c r="P108" s="7"/>
      <c r="Q108" s="1"/>
    </row>
    <row r="109" spans="1:17" x14ac:dyDescent="0.25">
      <c r="A109" s="12"/>
      <c r="B109" s="11"/>
      <c r="C109" s="11"/>
      <c r="D109" s="10"/>
      <c r="E109" s="13"/>
      <c r="F109" s="15"/>
      <c r="G109" s="7"/>
      <c r="H109" s="5"/>
      <c r="I109" s="7"/>
      <c r="J109" s="7"/>
      <c r="K109" s="7"/>
      <c r="L109" s="5"/>
      <c r="M109" s="7"/>
      <c r="N109" s="7"/>
      <c r="O109" s="7"/>
      <c r="P109" s="7"/>
      <c r="Q109" s="1"/>
    </row>
    <row r="110" spans="1:17" x14ac:dyDescent="0.25">
      <c r="A110" s="12"/>
      <c r="B110" s="11"/>
      <c r="C110" s="11"/>
      <c r="D110" s="10"/>
      <c r="E110" s="13"/>
      <c r="F110" s="15"/>
      <c r="G110" s="7"/>
      <c r="H110" s="5"/>
      <c r="I110" s="7"/>
      <c r="J110" s="7"/>
      <c r="K110" s="7"/>
      <c r="L110" s="5"/>
      <c r="M110" s="14"/>
      <c r="N110" s="7"/>
      <c r="O110" s="13"/>
      <c r="P110" s="7"/>
      <c r="Q110" s="1"/>
    </row>
    <row r="111" spans="1:17" x14ac:dyDescent="0.25">
      <c r="A111" s="8"/>
      <c r="B111" s="9"/>
      <c r="C111" s="10"/>
      <c r="D111" s="11"/>
      <c r="E111" s="13"/>
      <c r="F111" s="21"/>
      <c r="G111" s="7"/>
      <c r="H111" s="7"/>
      <c r="I111" s="7"/>
      <c r="J111" s="7"/>
      <c r="K111" s="7"/>
      <c r="L111" s="7"/>
      <c r="M111" s="7"/>
      <c r="N111" s="7"/>
      <c r="O111" s="7"/>
      <c r="P111" s="7"/>
      <c r="Q111" s="1"/>
    </row>
    <row r="112" spans="1:17" x14ac:dyDescent="0.25">
      <c r="A112" s="12"/>
      <c r="B112" s="11"/>
      <c r="C112" s="11"/>
      <c r="D112" s="10"/>
      <c r="E112" s="13"/>
      <c r="F112" s="15"/>
      <c r="G112" s="7"/>
      <c r="H112" s="5"/>
      <c r="I112" s="7"/>
      <c r="J112" s="7"/>
      <c r="K112" s="7"/>
      <c r="L112" s="5"/>
      <c r="M112" s="13"/>
      <c r="N112" s="7"/>
      <c r="O112" s="7"/>
      <c r="P112" s="7"/>
      <c r="Q112" s="1"/>
    </row>
    <row r="113" spans="1:17" x14ac:dyDescent="0.25">
      <c r="A113" s="12"/>
      <c r="B113" s="11"/>
      <c r="C113" s="11"/>
      <c r="D113" s="10"/>
      <c r="E113" s="13"/>
      <c r="F113" s="15"/>
      <c r="G113" s="7"/>
      <c r="H113" s="5"/>
      <c r="I113" s="7"/>
      <c r="J113" s="7"/>
      <c r="K113" s="7"/>
      <c r="L113" s="5"/>
      <c r="M113" s="7"/>
      <c r="N113" s="7"/>
      <c r="O113" s="7"/>
      <c r="P113" s="7"/>
      <c r="Q113" s="1"/>
    </row>
    <row r="114" spans="1:17" x14ac:dyDescent="0.25">
      <c r="A114" s="12"/>
      <c r="B114" s="11"/>
      <c r="C114" s="11"/>
      <c r="D114" s="10"/>
      <c r="E114" s="13"/>
      <c r="F114" s="15"/>
      <c r="G114" s="7"/>
      <c r="H114" s="5"/>
      <c r="I114" s="7"/>
      <c r="J114" s="7"/>
      <c r="K114" s="7"/>
      <c r="L114" s="5"/>
      <c r="M114" s="13"/>
      <c r="N114" s="7"/>
      <c r="O114" s="13"/>
      <c r="P114" s="13"/>
      <c r="Q114" s="1"/>
    </row>
    <row r="115" spans="1:17" x14ac:dyDescent="0.25">
      <c r="A115" s="12"/>
      <c r="B115" s="11"/>
      <c r="C115" s="11"/>
      <c r="D115" s="10"/>
      <c r="E115" s="13"/>
      <c r="F115" s="15"/>
      <c r="G115" s="7"/>
      <c r="H115" s="5"/>
      <c r="I115" s="7"/>
      <c r="J115" s="7"/>
      <c r="K115" s="7"/>
      <c r="L115" s="5"/>
      <c r="M115" s="7"/>
      <c r="N115" s="7"/>
      <c r="O115" s="7"/>
      <c r="P115" s="7"/>
      <c r="Q115" s="1"/>
    </row>
    <row r="116" spans="1:17" x14ac:dyDescent="0.25">
      <c r="A116" s="12"/>
      <c r="B116" s="11"/>
      <c r="C116" s="11"/>
      <c r="D116" s="10"/>
      <c r="E116" s="13"/>
      <c r="F116" s="15"/>
      <c r="G116" s="7"/>
      <c r="H116" s="5"/>
      <c r="I116" s="7"/>
      <c r="J116" s="7"/>
      <c r="K116" s="7"/>
      <c r="L116" s="5"/>
      <c r="M116" s="7"/>
      <c r="N116" s="7"/>
      <c r="O116" s="7"/>
      <c r="P116" s="7"/>
      <c r="Q116" s="1"/>
    </row>
    <row r="117" spans="1:17" x14ac:dyDescent="0.25">
      <c r="A117" s="12"/>
      <c r="B117" s="11"/>
      <c r="C117" s="11"/>
      <c r="D117" s="10"/>
      <c r="E117" s="13"/>
      <c r="F117" s="15"/>
      <c r="G117" s="7"/>
      <c r="H117" s="5"/>
      <c r="I117" s="7"/>
      <c r="J117" s="7"/>
      <c r="K117" s="7"/>
      <c r="L117" s="5"/>
      <c r="M117" s="7"/>
      <c r="N117" s="7"/>
      <c r="O117" s="7"/>
      <c r="P117" s="7"/>
      <c r="Q117" s="1"/>
    </row>
    <row r="118" spans="1:17" x14ac:dyDescent="0.25">
      <c r="A118" s="12"/>
      <c r="B118" s="11"/>
      <c r="C118" s="11"/>
      <c r="D118" s="10"/>
      <c r="E118" s="13"/>
      <c r="F118" s="15"/>
      <c r="G118" s="7"/>
      <c r="H118" s="5"/>
      <c r="I118" s="7"/>
      <c r="J118" s="7"/>
      <c r="K118" s="7"/>
      <c r="L118" s="5"/>
      <c r="M118" s="7"/>
      <c r="N118" s="7"/>
      <c r="O118" s="7"/>
      <c r="P118" s="7"/>
      <c r="Q118" s="1"/>
    </row>
    <row r="119" spans="1:17" x14ac:dyDescent="0.25">
      <c r="A119" s="12"/>
      <c r="B119" s="11"/>
      <c r="C119" s="11"/>
      <c r="D119" s="10"/>
      <c r="E119" s="13"/>
      <c r="F119" s="15"/>
      <c r="G119" s="7"/>
      <c r="H119" s="5"/>
      <c r="I119" s="7"/>
      <c r="J119" s="7"/>
      <c r="K119" s="7"/>
      <c r="L119" s="5"/>
      <c r="M119" s="7"/>
      <c r="N119" s="7"/>
      <c r="O119" s="7"/>
      <c r="P119" s="7"/>
      <c r="Q119" s="1"/>
    </row>
    <row r="120" spans="1:17" x14ac:dyDescent="0.25">
      <c r="A120" s="12"/>
      <c r="B120" s="11"/>
      <c r="C120" s="11"/>
      <c r="D120" s="10"/>
      <c r="E120" s="13"/>
      <c r="F120" s="15"/>
      <c r="G120" s="7"/>
      <c r="H120" s="5"/>
      <c r="I120" s="7"/>
      <c r="J120" s="7"/>
      <c r="K120" s="7"/>
      <c r="L120" s="5"/>
      <c r="M120" s="14"/>
      <c r="N120" s="13"/>
      <c r="O120" s="13"/>
      <c r="P120" s="13"/>
      <c r="Q120" s="1"/>
    </row>
    <row r="121" spans="1:17" x14ac:dyDescent="0.25">
      <c r="A121" s="8"/>
      <c r="B121" s="9"/>
      <c r="C121" s="10"/>
      <c r="D121" s="11"/>
      <c r="E121" s="13"/>
      <c r="F121" s="21"/>
      <c r="G121" s="7"/>
      <c r="H121" s="7"/>
      <c r="I121" s="7"/>
      <c r="J121" s="7"/>
      <c r="K121" s="7"/>
      <c r="L121" s="7"/>
      <c r="M121" s="7"/>
      <c r="N121" s="7"/>
      <c r="O121" s="7"/>
      <c r="P121" s="7"/>
      <c r="Q121" s="1"/>
    </row>
    <row r="122" spans="1:17" x14ac:dyDescent="0.25">
      <c r="A122" s="12"/>
      <c r="B122" s="11"/>
      <c r="C122" s="11"/>
      <c r="D122" s="10"/>
      <c r="E122" s="13"/>
      <c r="F122" s="15"/>
      <c r="G122" s="16"/>
      <c r="H122" s="5"/>
      <c r="I122" s="7"/>
      <c r="J122" s="7"/>
      <c r="K122" s="7"/>
      <c r="L122" s="5"/>
      <c r="M122" s="14"/>
      <c r="N122" s="13"/>
      <c r="O122" s="13"/>
      <c r="P122" s="13"/>
      <c r="Q122" s="1"/>
    </row>
    <row r="123" spans="1:17" x14ac:dyDescent="0.25">
      <c r="A123" s="12"/>
      <c r="B123" s="11"/>
      <c r="C123" s="11"/>
      <c r="D123" s="10"/>
      <c r="E123" s="13"/>
      <c r="F123" s="15"/>
      <c r="G123" s="16"/>
      <c r="H123" s="5"/>
      <c r="I123" s="7"/>
      <c r="J123" s="7"/>
      <c r="K123" s="7"/>
      <c r="L123" s="5"/>
      <c r="M123" s="7"/>
      <c r="N123" s="7"/>
      <c r="O123" s="7"/>
      <c r="P123" s="7"/>
      <c r="Q123" s="1"/>
    </row>
    <row r="124" spans="1:17" x14ac:dyDescent="0.25">
      <c r="A124" s="12"/>
      <c r="B124" s="11"/>
      <c r="C124" s="11"/>
      <c r="D124" s="10"/>
      <c r="E124" s="13"/>
      <c r="F124" s="15"/>
      <c r="G124" s="16"/>
      <c r="H124" s="5"/>
      <c r="I124" s="7"/>
      <c r="J124" s="7"/>
      <c r="K124" s="7"/>
      <c r="L124" s="5"/>
      <c r="M124" s="13"/>
      <c r="N124" s="7"/>
      <c r="O124" s="13"/>
      <c r="P124" s="13"/>
      <c r="Q124" s="1"/>
    </row>
    <row r="125" spans="1:17" x14ac:dyDescent="0.25">
      <c r="A125" s="12"/>
      <c r="B125" s="11"/>
      <c r="C125" s="11"/>
      <c r="D125" s="10"/>
      <c r="E125" s="13"/>
      <c r="F125" s="15"/>
      <c r="G125" s="16"/>
      <c r="H125" s="5"/>
      <c r="I125" s="7"/>
      <c r="J125" s="7"/>
      <c r="K125" s="7"/>
      <c r="L125" s="5"/>
      <c r="M125" s="14"/>
      <c r="N125" s="7"/>
      <c r="O125" s="13"/>
      <c r="P125" s="13"/>
      <c r="Q125" s="1"/>
    </row>
    <row r="126" spans="1:17" x14ac:dyDescent="0.25">
      <c r="A126" s="12"/>
      <c r="B126" s="11"/>
      <c r="C126" s="11"/>
      <c r="D126" s="10"/>
      <c r="E126" s="13"/>
      <c r="F126" s="15"/>
      <c r="G126" s="16"/>
      <c r="H126" s="5"/>
      <c r="I126" s="7"/>
      <c r="J126" s="7"/>
      <c r="K126" s="7"/>
      <c r="L126" s="5"/>
      <c r="M126" s="7"/>
      <c r="N126" s="7"/>
      <c r="O126" s="7"/>
      <c r="P126" s="7"/>
      <c r="Q126" s="1"/>
    </row>
    <row r="127" spans="1:17" x14ac:dyDescent="0.25">
      <c r="A127" s="12"/>
      <c r="B127" s="11"/>
      <c r="C127" s="11"/>
      <c r="D127" s="10"/>
      <c r="E127" s="13"/>
      <c r="F127" s="15"/>
      <c r="G127" s="16"/>
      <c r="H127" s="5"/>
      <c r="I127" s="7"/>
      <c r="J127" s="7"/>
      <c r="K127" s="7"/>
      <c r="L127" s="5"/>
      <c r="M127" s="13"/>
      <c r="N127" s="13"/>
      <c r="O127" s="13"/>
      <c r="P127" s="7"/>
      <c r="Q127" s="1"/>
    </row>
    <row r="128" spans="1:17" x14ac:dyDescent="0.25">
      <c r="A128" s="12"/>
      <c r="B128" s="11"/>
      <c r="C128" s="11"/>
      <c r="D128" s="10"/>
      <c r="E128" s="13"/>
      <c r="F128" s="15"/>
      <c r="G128" s="16"/>
      <c r="H128" s="5"/>
      <c r="I128" s="7"/>
      <c r="J128" s="7"/>
      <c r="K128" s="7"/>
      <c r="L128" s="5"/>
      <c r="M128" s="7"/>
      <c r="N128" s="7"/>
      <c r="O128" s="7"/>
      <c r="P128" s="7"/>
      <c r="Q128" s="1"/>
    </row>
    <row r="129" spans="1:17" x14ac:dyDescent="0.25">
      <c r="A129" s="12"/>
      <c r="B129" s="11"/>
      <c r="C129" s="11"/>
      <c r="D129" s="10"/>
      <c r="E129" s="13"/>
      <c r="F129" s="15"/>
      <c r="G129" s="16"/>
      <c r="H129" s="5"/>
      <c r="I129" s="7"/>
      <c r="J129" s="7"/>
      <c r="K129" s="7"/>
      <c r="L129" s="5"/>
      <c r="M129" s="7"/>
      <c r="N129" s="7"/>
      <c r="O129" s="7"/>
      <c r="P129" s="7"/>
      <c r="Q129" s="1"/>
    </row>
    <row r="130" spans="1:17" x14ac:dyDescent="0.25">
      <c r="A130" s="12"/>
      <c r="B130" s="11"/>
      <c r="C130" s="11"/>
      <c r="D130" s="10"/>
      <c r="E130" s="13"/>
      <c r="F130" s="15"/>
      <c r="G130" s="16"/>
      <c r="H130" s="5"/>
      <c r="I130" s="7"/>
      <c r="J130" s="7"/>
      <c r="K130" s="7"/>
      <c r="L130" s="5"/>
      <c r="M130" s="14"/>
      <c r="N130" s="13"/>
      <c r="O130" s="13"/>
      <c r="P130" s="13"/>
      <c r="Q130" s="1"/>
    </row>
    <row r="131" spans="1:17" x14ac:dyDescent="0.25">
      <c r="A131" s="12"/>
      <c r="B131" s="11"/>
      <c r="C131" s="11"/>
      <c r="D131" s="10"/>
      <c r="E131" s="13"/>
      <c r="F131" s="15"/>
      <c r="G131" s="16"/>
      <c r="H131" s="5"/>
      <c r="I131" s="7"/>
      <c r="J131" s="7"/>
      <c r="K131" s="7"/>
      <c r="L131" s="5"/>
      <c r="M131" s="13"/>
      <c r="N131" s="13"/>
      <c r="O131" s="13"/>
      <c r="P131" s="13"/>
      <c r="Q131" s="1"/>
    </row>
    <row r="132" spans="1:17" x14ac:dyDescent="0.25">
      <c r="A132" s="8"/>
      <c r="B132" s="9"/>
      <c r="C132" s="10"/>
      <c r="D132" s="11"/>
      <c r="E132" s="13"/>
      <c r="F132" s="21"/>
      <c r="G132" s="7"/>
      <c r="H132" s="7"/>
      <c r="I132" s="7"/>
      <c r="J132" s="7"/>
      <c r="K132" s="7"/>
      <c r="L132" s="7"/>
      <c r="M132" s="7"/>
      <c r="N132" s="7"/>
      <c r="O132" s="7"/>
      <c r="P132" s="7"/>
      <c r="Q132" s="1"/>
    </row>
    <row r="133" spans="1:17" x14ac:dyDescent="0.25">
      <c r="A133" s="12"/>
      <c r="B133" s="11"/>
      <c r="C133" s="11"/>
      <c r="D133" s="10"/>
      <c r="E133" s="13"/>
      <c r="F133" s="15"/>
      <c r="G133" s="7"/>
      <c r="H133" s="5"/>
      <c r="I133" s="7"/>
      <c r="J133" s="7"/>
      <c r="K133" s="7"/>
      <c r="L133" s="5"/>
      <c r="M133" s="13"/>
      <c r="N133" s="13"/>
      <c r="O133" s="13"/>
      <c r="P133" s="13"/>
      <c r="Q133" s="1"/>
    </row>
    <row r="134" spans="1:17" x14ac:dyDescent="0.25">
      <c r="A134" s="12"/>
      <c r="B134" s="11"/>
      <c r="C134" s="11"/>
      <c r="D134" s="10"/>
      <c r="E134" s="13"/>
      <c r="F134" s="15"/>
      <c r="G134" s="7"/>
      <c r="H134" s="5"/>
      <c r="I134" s="7"/>
      <c r="J134" s="7"/>
      <c r="K134" s="7"/>
      <c r="L134" s="5"/>
      <c r="M134" s="7"/>
      <c r="N134" s="7"/>
      <c r="O134" s="7"/>
      <c r="P134" s="7"/>
      <c r="Q134" s="1"/>
    </row>
    <row r="135" spans="1:17" x14ac:dyDescent="0.25">
      <c r="A135" s="12"/>
      <c r="B135" s="11"/>
      <c r="C135" s="11"/>
      <c r="D135" s="10"/>
      <c r="E135" s="13"/>
      <c r="F135" s="15"/>
      <c r="G135" s="7"/>
      <c r="H135" s="5"/>
      <c r="I135" s="7"/>
      <c r="J135" s="7"/>
      <c r="K135" s="7"/>
      <c r="L135" s="5"/>
      <c r="M135" s="7"/>
      <c r="N135" s="7"/>
      <c r="O135" s="7"/>
      <c r="P135" s="7"/>
      <c r="Q135" s="1"/>
    </row>
    <row r="136" spans="1:17" x14ac:dyDescent="0.25">
      <c r="A136" s="12"/>
      <c r="B136" s="11"/>
      <c r="C136" s="11"/>
      <c r="D136" s="10"/>
      <c r="E136" s="13"/>
      <c r="F136" s="15"/>
      <c r="G136" s="7"/>
      <c r="H136" s="5"/>
      <c r="I136" s="7"/>
      <c r="J136" s="7"/>
      <c r="K136" s="7"/>
      <c r="L136" s="5"/>
      <c r="M136" s="7"/>
      <c r="N136" s="7"/>
      <c r="O136" s="7"/>
      <c r="P136" s="7"/>
      <c r="Q136" s="1"/>
    </row>
    <row r="137" spans="1:17" x14ac:dyDescent="0.25">
      <c r="A137" s="12"/>
      <c r="B137" s="11"/>
      <c r="C137" s="11"/>
      <c r="D137" s="10"/>
      <c r="E137" s="13"/>
      <c r="F137" s="15"/>
      <c r="G137" s="7"/>
      <c r="H137" s="5"/>
      <c r="I137" s="7"/>
      <c r="J137" s="7"/>
      <c r="K137" s="7"/>
      <c r="L137" s="5"/>
      <c r="M137" s="13"/>
      <c r="N137" s="13"/>
      <c r="O137" s="13"/>
      <c r="P137" s="13"/>
      <c r="Q137" s="1"/>
    </row>
    <row r="138" spans="1:17" x14ac:dyDescent="0.25">
      <c r="A138" s="8"/>
      <c r="B138" s="9"/>
      <c r="C138" s="10"/>
      <c r="D138" s="11"/>
      <c r="E138" s="13"/>
      <c r="F138" s="21"/>
      <c r="G138" s="7"/>
      <c r="H138" s="7"/>
      <c r="I138" s="7"/>
      <c r="J138" s="7"/>
      <c r="K138" s="7"/>
      <c r="L138" s="7"/>
      <c r="M138" s="7"/>
      <c r="N138" s="7"/>
      <c r="O138" s="7"/>
      <c r="P138" s="7"/>
      <c r="Q138" s="1"/>
    </row>
    <row r="139" spans="1:17" x14ac:dyDescent="0.25">
      <c r="A139" s="12"/>
      <c r="B139" s="11"/>
      <c r="C139" s="11"/>
      <c r="D139" s="10"/>
      <c r="E139" s="13"/>
      <c r="F139" s="15"/>
      <c r="G139" s="7"/>
      <c r="H139" s="5"/>
      <c r="I139" s="7"/>
      <c r="J139" s="7"/>
      <c r="K139" s="7"/>
      <c r="L139" s="5"/>
      <c r="M139" s="7"/>
      <c r="N139" s="7"/>
      <c r="O139" s="7"/>
      <c r="P139" s="7"/>
      <c r="Q139" s="1"/>
    </row>
    <row r="140" spans="1:17" x14ac:dyDescent="0.25">
      <c r="A140" s="12"/>
      <c r="B140" s="11"/>
      <c r="C140" s="11"/>
      <c r="D140" s="10"/>
      <c r="E140" s="13"/>
      <c r="F140" s="15"/>
      <c r="G140" s="7"/>
      <c r="H140" s="5"/>
      <c r="I140" s="7"/>
      <c r="J140" s="7"/>
      <c r="K140" s="7"/>
      <c r="L140" s="5"/>
      <c r="M140" s="7"/>
      <c r="N140" s="7"/>
      <c r="O140" s="7"/>
      <c r="P140" s="7"/>
      <c r="Q140" s="1"/>
    </row>
    <row r="141" spans="1:17" x14ac:dyDescent="0.25">
      <c r="A141" s="12"/>
      <c r="B141" s="11"/>
      <c r="C141" s="11"/>
      <c r="D141" s="10"/>
      <c r="E141" s="13"/>
      <c r="F141" s="15"/>
      <c r="G141" s="7"/>
      <c r="H141" s="5"/>
      <c r="I141" s="7"/>
      <c r="J141" s="7"/>
      <c r="K141" s="7"/>
      <c r="L141" s="5"/>
      <c r="M141" s="7"/>
      <c r="N141" s="7"/>
      <c r="O141" s="7"/>
      <c r="P141" s="7"/>
      <c r="Q141" s="1"/>
    </row>
    <row r="142" spans="1:17" x14ac:dyDescent="0.25">
      <c r="A142" s="12"/>
      <c r="B142" s="11"/>
      <c r="C142" s="11"/>
      <c r="D142" s="10"/>
      <c r="E142" s="13"/>
      <c r="F142" s="15"/>
      <c r="G142" s="7"/>
      <c r="H142" s="5"/>
      <c r="I142" s="7"/>
      <c r="J142" s="7"/>
      <c r="K142" s="7"/>
      <c r="L142" s="5"/>
      <c r="M142" s="7"/>
      <c r="N142" s="7"/>
      <c r="O142" s="7"/>
      <c r="P142" s="7"/>
      <c r="Q142" s="1"/>
    </row>
    <row r="143" spans="1:17" x14ac:dyDescent="0.25">
      <c r="A143" s="12"/>
      <c r="B143" s="11"/>
      <c r="C143" s="11"/>
      <c r="D143" s="10"/>
      <c r="E143" s="13"/>
      <c r="F143" s="15"/>
      <c r="G143" s="7"/>
      <c r="H143" s="5"/>
      <c r="I143" s="7"/>
      <c r="J143" s="7"/>
      <c r="K143" s="7"/>
      <c r="L143" s="5"/>
      <c r="M143" s="13"/>
      <c r="N143" s="7"/>
      <c r="O143" s="13"/>
      <c r="P143" s="13"/>
      <c r="Q143" s="1"/>
    </row>
    <row r="144" spans="1:17" x14ac:dyDescent="0.25">
      <c r="A144" s="8"/>
      <c r="B144" s="9"/>
      <c r="C144" s="10"/>
      <c r="D144" s="11"/>
      <c r="E144" s="13"/>
      <c r="F144" s="21"/>
      <c r="G144" s="7"/>
      <c r="H144" s="7"/>
      <c r="I144" s="7"/>
      <c r="J144" s="7"/>
      <c r="K144" s="7"/>
      <c r="L144" s="7"/>
      <c r="M144" s="7"/>
      <c r="N144" s="7"/>
      <c r="O144" s="7"/>
      <c r="P144" s="7"/>
      <c r="Q144" s="1"/>
    </row>
    <row r="145" spans="1:17" x14ac:dyDescent="0.25">
      <c r="A145" s="12"/>
      <c r="B145" s="11"/>
      <c r="C145" s="11"/>
      <c r="D145" s="10"/>
      <c r="E145" s="13"/>
      <c r="F145" s="15"/>
      <c r="G145" s="7"/>
      <c r="H145" s="5"/>
      <c r="I145" s="7"/>
      <c r="J145" s="7"/>
      <c r="K145" s="7"/>
      <c r="L145" s="5"/>
      <c r="M145" s="7"/>
      <c r="N145" s="7"/>
      <c r="O145" s="7"/>
      <c r="P145" s="7"/>
      <c r="Q145" s="1"/>
    </row>
    <row r="146" spans="1:17" x14ac:dyDescent="0.25">
      <c r="A146" s="12"/>
      <c r="B146" s="11"/>
      <c r="C146" s="11"/>
      <c r="D146" s="10"/>
      <c r="E146" s="13"/>
      <c r="F146" s="15"/>
      <c r="G146" s="7"/>
      <c r="H146" s="5"/>
      <c r="I146" s="7"/>
      <c r="J146" s="7"/>
      <c r="K146" s="7"/>
      <c r="L146" s="5"/>
      <c r="M146" s="7"/>
      <c r="N146" s="7"/>
      <c r="O146" s="7"/>
      <c r="P146" s="7"/>
      <c r="Q146" s="1"/>
    </row>
    <row r="147" spans="1:17" x14ac:dyDescent="0.25">
      <c r="A147" s="12"/>
      <c r="B147" s="11"/>
      <c r="C147" s="11"/>
      <c r="D147" s="10"/>
      <c r="E147" s="13"/>
      <c r="F147" s="15"/>
      <c r="G147" s="7"/>
      <c r="H147" s="5"/>
      <c r="I147" s="7"/>
      <c r="J147" s="7"/>
      <c r="K147" s="7"/>
      <c r="L147" s="5"/>
      <c r="M147" s="7"/>
      <c r="N147" s="7"/>
      <c r="O147" s="7"/>
      <c r="P147" s="7"/>
      <c r="Q147" s="1"/>
    </row>
    <row r="148" spans="1:17" x14ac:dyDescent="0.25">
      <c r="A148" s="12"/>
      <c r="B148" s="11"/>
      <c r="C148" s="11"/>
      <c r="D148" s="10"/>
      <c r="E148" s="13"/>
      <c r="F148" s="15"/>
      <c r="G148" s="7"/>
      <c r="H148" s="5"/>
      <c r="I148" s="7"/>
      <c r="J148" s="7"/>
      <c r="K148" s="7"/>
      <c r="L148" s="5"/>
      <c r="M148" s="7"/>
      <c r="N148" s="7"/>
      <c r="O148" s="7"/>
      <c r="P148" s="7"/>
      <c r="Q148" s="1"/>
    </row>
    <row r="149" spans="1:17" x14ac:dyDescent="0.25">
      <c r="A149" s="12"/>
      <c r="B149" s="11"/>
      <c r="C149" s="11"/>
      <c r="D149" s="10"/>
      <c r="E149" s="13"/>
      <c r="F149" s="15"/>
      <c r="G149" s="7"/>
      <c r="H149" s="5"/>
      <c r="I149" s="7"/>
      <c r="J149" s="7"/>
      <c r="K149" s="7"/>
      <c r="L149" s="5"/>
      <c r="M149" s="13"/>
      <c r="N149" s="7"/>
      <c r="O149" s="13"/>
      <c r="P149" s="13"/>
      <c r="Q149" s="1"/>
    </row>
    <row r="150" spans="1:17" x14ac:dyDescent="0.25">
      <c r="A150" s="8"/>
      <c r="B150" s="9"/>
      <c r="C150" s="10"/>
      <c r="D150" s="11"/>
      <c r="E150" s="13"/>
      <c r="F150" s="21"/>
      <c r="G150" s="7"/>
      <c r="H150" s="7"/>
      <c r="I150" s="7"/>
      <c r="J150" s="7"/>
      <c r="K150" s="7"/>
      <c r="L150" s="7"/>
      <c r="M150" s="7"/>
      <c r="N150" s="7"/>
      <c r="O150" s="7"/>
      <c r="P150" s="7"/>
      <c r="Q150" s="1"/>
    </row>
    <row r="151" spans="1:17" x14ac:dyDescent="0.25">
      <c r="A151" s="12"/>
      <c r="B151" s="11"/>
      <c r="C151" s="11"/>
      <c r="D151" s="10"/>
      <c r="E151" s="13"/>
      <c r="F151" s="15"/>
      <c r="G151" s="7"/>
      <c r="H151" s="5"/>
      <c r="I151" s="7"/>
      <c r="J151" s="7"/>
      <c r="K151" s="7"/>
      <c r="L151" s="5"/>
      <c r="M151" s="14"/>
      <c r="N151" s="7"/>
      <c r="O151" s="13"/>
      <c r="P151" s="13"/>
      <c r="Q151" s="1"/>
    </row>
    <row r="152" spans="1:17" x14ac:dyDescent="0.25">
      <c r="A152" s="12"/>
      <c r="B152" s="11"/>
      <c r="C152" s="11"/>
      <c r="D152" s="10"/>
      <c r="E152" s="13"/>
      <c r="F152" s="15"/>
      <c r="G152" s="7"/>
      <c r="H152" s="5"/>
      <c r="I152" s="7"/>
      <c r="J152" s="7"/>
      <c r="K152" s="7"/>
      <c r="L152" s="5"/>
      <c r="M152" s="7"/>
      <c r="N152" s="7"/>
      <c r="O152" s="7"/>
      <c r="P152" s="7"/>
      <c r="Q152" s="1"/>
    </row>
    <row r="153" spans="1:17" x14ac:dyDescent="0.25">
      <c r="A153" s="12"/>
      <c r="B153" s="11"/>
      <c r="C153" s="11"/>
      <c r="D153" s="10"/>
      <c r="E153" s="13"/>
      <c r="F153" s="15"/>
      <c r="G153" s="7"/>
      <c r="H153" s="5"/>
      <c r="I153" s="7"/>
      <c r="J153" s="7"/>
      <c r="K153" s="7"/>
      <c r="L153" s="5"/>
      <c r="M153" s="7"/>
      <c r="N153" s="7"/>
      <c r="O153" s="7"/>
      <c r="P153" s="7"/>
      <c r="Q153" s="1"/>
    </row>
    <row r="154" spans="1:17" x14ac:dyDescent="0.25">
      <c r="A154" s="12"/>
      <c r="B154" s="11"/>
      <c r="C154" s="11"/>
      <c r="D154" s="10"/>
      <c r="E154" s="13"/>
      <c r="F154" s="15"/>
      <c r="G154" s="7"/>
      <c r="H154" s="5"/>
      <c r="I154" s="7"/>
      <c r="J154" s="7"/>
      <c r="K154" s="7"/>
      <c r="L154" s="5"/>
      <c r="M154" s="7"/>
      <c r="N154" s="7"/>
      <c r="O154" s="7"/>
      <c r="P154" s="7"/>
      <c r="Q154" s="1"/>
    </row>
    <row r="155" spans="1:17" x14ac:dyDescent="0.25">
      <c r="A155" s="12"/>
      <c r="B155" s="11"/>
      <c r="C155" s="11"/>
      <c r="D155" s="10"/>
      <c r="E155" s="13"/>
      <c r="F155" s="15"/>
      <c r="G155" s="7"/>
      <c r="H155" s="5"/>
      <c r="I155" s="7"/>
      <c r="J155" s="7"/>
      <c r="K155" s="7"/>
      <c r="L155" s="5"/>
      <c r="M155" s="13"/>
      <c r="N155" s="7"/>
      <c r="O155" s="13"/>
      <c r="P155" s="13"/>
      <c r="Q155" s="1"/>
    </row>
    <row r="156" spans="1:17" x14ac:dyDescent="0.25">
      <c r="A156" s="8"/>
      <c r="B156" s="9"/>
      <c r="C156" s="10"/>
      <c r="D156" s="11"/>
      <c r="E156" s="13"/>
      <c r="F156" s="21"/>
      <c r="G156" s="7"/>
      <c r="H156" s="7"/>
      <c r="I156" s="7"/>
      <c r="J156" s="7"/>
      <c r="K156" s="7"/>
      <c r="L156" s="7"/>
      <c r="M156" s="7"/>
      <c r="N156" s="7"/>
      <c r="O156" s="7"/>
      <c r="P156" s="7"/>
      <c r="Q156" s="1"/>
    </row>
    <row r="157" spans="1:17" x14ac:dyDescent="0.25">
      <c r="A157" s="12"/>
      <c r="B157" s="11"/>
      <c r="C157" s="11"/>
      <c r="D157" s="10"/>
      <c r="E157" s="13"/>
      <c r="F157" s="15"/>
      <c r="G157" s="7"/>
      <c r="H157" s="5"/>
      <c r="I157" s="7"/>
      <c r="J157" s="7"/>
      <c r="K157" s="7"/>
      <c r="L157" s="5"/>
      <c r="M157" s="13"/>
      <c r="N157" s="7"/>
      <c r="O157" s="13"/>
      <c r="P157" s="13"/>
      <c r="Q157" s="1"/>
    </row>
    <row r="158" spans="1:17" x14ac:dyDescent="0.25">
      <c r="A158" s="12"/>
      <c r="B158" s="11"/>
      <c r="C158" s="11"/>
      <c r="D158" s="10"/>
      <c r="E158" s="13"/>
      <c r="F158" s="15"/>
      <c r="G158" s="7"/>
      <c r="H158" s="5"/>
      <c r="I158" s="7"/>
      <c r="J158" s="7"/>
      <c r="K158" s="7"/>
      <c r="L158" s="5"/>
      <c r="M158" s="7"/>
      <c r="N158" s="7"/>
      <c r="O158" s="7"/>
      <c r="P158" s="7"/>
      <c r="Q158" s="1"/>
    </row>
    <row r="159" spans="1:17" x14ac:dyDescent="0.25">
      <c r="A159" s="12"/>
      <c r="B159" s="11"/>
      <c r="C159" s="11"/>
      <c r="D159" s="10"/>
      <c r="E159" s="13"/>
      <c r="F159" s="15"/>
      <c r="G159" s="7"/>
      <c r="H159" s="5"/>
      <c r="I159" s="7"/>
      <c r="J159" s="7"/>
      <c r="K159" s="7"/>
      <c r="L159" s="5"/>
      <c r="M159" s="7"/>
      <c r="N159" s="7"/>
      <c r="O159" s="7"/>
      <c r="P159" s="7"/>
      <c r="Q159" s="1"/>
    </row>
    <row r="160" spans="1:17" x14ac:dyDescent="0.25">
      <c r="A160" s="12"/>
      <c r="B160" s="11"/>
      <c r="C160" s="11"/>
      <c r="D160" s="10"/>
      <c r="E160" s="13"/>
      <c r="F160" s="15"/>
      <c r="G160" s="7"/>
      <c r="H160" s="5"/>
      <c r="I160" s="7"/>
      <c r="J160" s="7"/>
      <c r="K160" s="7"/>
      <c r="L160" s="5"/>
      <c r="M160" s="7"/>
      <c r="N160" s="7"/>
      <c r="O160" s="7"/>
      <c r="P160" s="7"/>
      <c r="Q160" s="1"/>
    </row>
    <row r="161" spans="1:17" x14ac:dyDescent="0.25">
      <c r="A161" s="12"/>
      <c r="B161" s="11"/>
      <c r="C161" s="11"/>
      <c r="D161" s="10"/>
      <c r="E161" s="13"/>
      <c r="F161" s="15"/>
      <c r="G161" s="7"/>
      <c r="H161" s="5"/>
      <c r="I161" s="7"/>
      <c r="J161" s="7"/>
      <c r="K161" s="7"/>
      <c r="L161" s="5"/>
      <c r="M161" s="13"/>
      <c r="N161" s="7"/>
      <c r="O161" s="13"/>
      <c r="P161" s="13"/>
      <c r="Q161" s="1"/>
    </row>
    <row r="162" spans="1:17" x14ac:dyDescent="0.25">
      <c r="A162" s="8"/>
      <c r="B162" s="9"/>
      <c r="C162" s="10"/>
      <c r="D162" s="11"/>
      <c r="E162" s="13"/>
      <c r="F162" s="21"/>
      <c r="G162" s="7"/>
      <c r="H162" s="7"/>
      <c r="I162" s="7"/>
      <c r="J162" s="7"/>
      <c r="K162" s="7"/>
      <c r="L162" s="7"/>
      <c r="M162" s="7"/>
      <c r="N162" s="7"/>
      <c r="O162" s="7"/>
      <c r="P162" s="7"/>
      <c r="Q162" s="1"/>
    </row>
    <row r="163" spans="1:17" x14ac:dyDescent="0.25">
      <c r="A163" s="12"/>
      <c r="B163" s="11"/>
      <c r="C163" s="11"/>
      <c r="D163" s="10"/>
      <c r="E163" s="13"/>
      <c r="F163" s="15"/>
      <c r="G163" s="7"/>
      <c r="H163" s="5"/>
      <c r="I163" s="7"/>
      <c r="J163" s="7"/>
      <c r="K163" s="7"/>
      <c r="L163" s="5"/>
      <c r="M163" s="7"/>
      <c r="N163" s="7"/>
      <c r="O163" s="13"/>
      <c r="P163" s="13"/>
      <c r="Q163" s="1"/>
    </row>
    <row r="164" spans="1:17" x14ac:dyDescent="0.25">
      <c r="A164" s="12"/>
      <c r="B164" s="11"/>
      <c r="C164" s="11"/>
      <c r="D164" s="10"/>
      <c r="E164" s="13"/>
      <c r="F164" s="15"/>
      <c r="G164" s="7"/>
      <c r="H164" s="5"/>
      <c r="I164" s="7"/>
      <c r="J164" s="7"/>
      <c r="K164" s="7"/>
      <c r="L164" s="5"/>
      <c r="M164" s="7"/>
      <c r="N164" s="7"/>
      <c r="O164" s="7"/>
      <c r="P164" s="7"/>
      <c r="Q164" s="1"/>
    </row>
    <row r="165" spans="1:17" x14ac:dyDescent="0.25">
      <c r="A165" s="12"/>
      <c r="B165" s="11"/>
      <c r="C165" s="11"/>
      <c r="D165" s="10"/>
      <c r="E165" s="13"/>
      <c r="F165" s="15"/>
      <c r="G165" s="7"/>
      <c r="H165" s="5"/>
      <c r="I165" s="7"/>
      <c r="J165" s="7"/>
      <c r="K165" s="7"/>
      <c r="L165" s="5"/>
      <c r="M165" s="7"/>
      <c r="N165" s="7"/>
      <c r="O165" s="7"/>
      <c r="P165" s="7"/>
      <c r="Q165" s="1"/>
    </row>
    <row r="166" spans="1:17" x14ac:dyDescent="0.25">
      <c r="A166" s="12"/>
      <c r="B166" s="11"/>
      <c r="C166" s="11"/>
      <c r="D166" s="10"/>
      <c r="E166" s="13"/>
      <c r="F166" s="15"/>
      <c r="G166" s="7"/>
      <c r="H166" s="5"/>
      <c r="I166" s="7"/>
      <c r="J166" s="7"/>
      <c r="K166" s="7"/>
      <c r="L166" s="5"/>
      <c r="M166" s="7"/>
      <c r="N166" s="7"/>
      <c r="O166" s="7"/>
      <c r="P166" s="7"/>
      <c r="Q166" s="1"/>
    </row>
    <row r="167" spans="1:17" x14ac:dyDescent="0.25">
      <c r="A167" s="12"/>
      <c r="B167" s="11"/>
      <c r="C167" s="11"/>
      <c r="D167" s="10"/>
      <c r="E167" s="13"/>
      <c r="F167" s="15"/>
      <c r="G167" s="7"/>
      <c r="H167" s="5"/>
      <c r="I167" s="7"/>
      <c r="J167" s="7"/>
      <c r="K167" s="7"/>
      <c r="L167" s="5"/>
      <c r="M167" s="13"/>
      <c r="N167" s="7"/>
      <c r="O167" s="13"/>
      <c r="P167" s="13"/>
      <c r="Q167" s="1"/>
    </row>
    <row r="168" spans="1:17" x14ac:dyDescent="0.25">
      <c r="A168" s="8"/>
      <c r="B168" s="9"/>
      <c r="C168" s="10"/>
      <c r="D168" s="11"/>
      <c r="E168" s="13"/>
      <c r="F168" s="21"/>
      <c r="G168" s="7"/>
      <c r="H168" s="7"/>
      <c r="I168" s="7"/>
      <c r="J168" s="7"/>
      <c r="K168" s="7"/>
      <c r="L168" s="7"/>
      <c r="M168" s="7"/>
      <c r="N168" s="7"/>
      <c r="O168" s="7"/>
      <c r="P168" s="7"/>
      <c r="Q168" s="1"/>
    </row>
    <row r="169" spans="1:17" x14ac:dyDescent="0.25">
      <c r="A169" s="12"/>
      <c r="B169" s="11"/>
      <c r="C169" s="11"/>
      <c r="D169" s="10"/>
      <c r="E169" s="13"/>
      <c r="F169" s="15"/>
      <c r="G169" s="7"/>
      <c r="H169" s="5"/>
      <c r="I169" s="7"/>
      <c r="J169" s="7"/>
      <c r="K169" s="7"/>
      <c r="L169" s="5"/>
      <c r="M169" s="14"/>
      <c r="N169" s="7"/>
      <c r="O169" s="13"/>
      <c r="P169" s="13"/>
      <c r="Q169" s="1"/>
    </row>
    <row r="170" spans="1:17" x14ac:dyDescent="0.25">
      <c r="A170" s="12"/>
      <c r="B170" s="11"/>
      <c r="C170" s="11"/>
      <c r="D170" s="10"/>
      <c r="E170" s="13"/>
      <c r="F170" s="15"/>
      <c r="G170" s="7"/>
      <c r="H170" s="5"/>
      <c r="I170" s="7"/>
      <c r="J170" s="7"/>
      <c r="K170" s="7"/>
      <c r="L170" s="5"/>
      <c r="M170" s="7"/>
      <c r="N170" s="7"/>
      <c r="O170" s="7"/>
      <c r="P170" s="7"/>
      <c r="Q170" s="1"/>
    </row>
    <row r="171" spans="1:17" x14ac:dyDescent="0.25">
      <c r="A171" s="12"/>
      <c r="B171" s="11"/>
      <c r="C171" s="11"/>
      <c r="D171" s="10"/>
      <c r="E171" s="13"/>
      <c r="F171" s="15"/>
      <c r="G171" s="7"/>
      <c r="H171" s="5"/>
      <c r="I171" s="7"/>
      <c r="J171" s="7"/>
      <c r="K171" s="7"/>
      <c r="L171" s="5"/>
      <c r="M171" s="7"/>
      <c r="N171" s="7"/>
      <c r="O171" s="7"/>
      <c r="P171" s="7"/>
      <c r="Q171" s="1"/>
    </row>
    <row r="172" spans="1:17" x14ac:dyDescent="0.25">
      <c r="A172" s="12"/>
      <c r="B172" s="11"/>
      <c r="C172" s="11"/>
      <c r="D172" s="10"/>
      <c r="E172" s="13"/>
      <c r="F172" s="15"/>
      <c r="G172" s="7"/>
      <c r="H172" s="5"/>
      <c r="I172" s="7"/>
      <c r="J172" s="7"/>
      <c r="K172" s="7"/>
      <c r="L172" s="5"/>
      <c r="M172" s="7"/>
      <c r="N172" s="7"/>
      <c r="O172" s="7"/>
      <c r="P172" s="7"/>
      <c r="Q172" s="1"/>
    </row>
    <row r="173" spans="1:17" x14ac:dyDescent="0.25">
      <c r="A173" s="12"/>
      <c r="B173" s="11"/>
      <c r="C173" s="11"/>
      <c r="D173" s="10"/>
      <c r="E173" s="13"/>
      <c r="F173" s="15"/>
      <c r="G173" s="7"/>
      <c r="H173" s="5"/>
      <c r="I173" s="7"/>
      <c r="J173" s="7"/>
      <c r="K173" s="7"/>
      <c r="L173" s="5"/>
      <c r="M173" s="13"/>
      <c r="N173" s="7"/>
      <c r="O173" s="13"/>
      <c r="P173" s="13"/>
      <c r="Q173" s="1"/>
    </row>
    <row r="174" spans="1:17" x14ac:dyDescent="0.25">
      <c r="A174" s="8"/>
      <c r="B174" s="9"/>
      <c r="C174" s="10"/>
      <c r="D174" s="11"/>
      <c r="E174" s="13"/>
      <c r="F174" s="21"/>
      <c r="G174" s="7"/>
      <c r="H174" s="7"/>
      <c r="I174" s="7"/>
      <c r="J174" s="7"/>
      <c r="K174" s="7"/>
      <c r="L174" s="7"/>
      <c r="M174" s="7"/>
      <c r="N174" s="7"/>
      <c r="O174" s="7"/>
      <c r="P174" s="7"/>
      <c r="Q174" s="1"/>
    </row>
    <row r="175" spans="1:17" x14ac:dyDescent="0.25">
      <c r="A175" s="12"/>
      <c r="B175" s="11"/>
      <c r="C175" s="11"/>
      <c r="D175" s="10"/>
      <c r="E175" s="13"/>
      <c r="F175" s="15"/>
      <c r="G175" s="7"/>
      <c r="H175" s="5"/>
      <c r="I175" s="7"/>
      <c r="J175" s="7"/>
      <c r="K175" s="7"/>
      <c r="L175" s="5"/>
      <c r="M175" s="7"/>
      <c r="N175" s="7"/>
      <c r="O175" s="7"/>
      <c r="P175" s="7"/>
      <c r="Q175" s="1"/>
    </row>
    <row r="176" spans="1:17" x14ac:dyDescent="0.25">
      <c r="A176" s="12"/>
      <c r="B176" s="11"/>
      <c r="C176" s="11"/>
      <c r="D176" s="10"/>
      <c r="E176" s="13"/>
      <c r="F176" s="15"/>
      <c r="G176" s="7"/>
      <c r="H176" s="5"/>
      <c r="I176" s="7"/>
      <c r="J176" s="7"/>
      <c r="K176" s="7"/>
      <c r="L176" s="5"/>
      <c r="M176" s="7"/>
      <c r="N176" s="7"/>
      <c r="O176" s="7"/>
      <c r="P176" s="7"/>
      <c r="Q176" s="1"/>
    </row>
    <row r="177" spans="1:17" x14ac:dyDescent="0.25">
      <c r="A177" s="12"/>
      <c r="B177" s="11"/>
      <c r="C177" s="11"/>
      <c r="D177" s="10"/>
      <c r="E177" s="13"/>
      <c r="F177" s="15"/>
      <c r="G177" s="7"/>
      <c r="H177" s="5"/>
      <c r="I177" s="7"/>
      <c r="J177" s="7"/>
      <c r="K177" s="7"/>
      <c r="L177" s="5"/>
      <c r="M177" s="7"/>
      <c r="N177" s="7"/>
      <c r="O177" s="7"/>
      <c r="P177" s="7"/>
      <c r="Q177" s="1"/>
    </row>
    <row r="178" spans="1:17" x14ac:dyDescent="0.25">
      <c r="A178" s="12"/>
      <c r="B178" s="11"/>
      <c r="C178" s="11"/>
      <c r="D178" s="10"/>
      <c r="E178" s="13"/>
      <c r="F178" s="15"/>
      <c r="G178" s="7"/>
      <c r="H178" s="5"/>
      <c r="I178" s="7"/>
      <c r="J178" s="7"/>
      <c r="K178" s="7"/>
      <c r="L178" s="5"/>
      <c r="M178" s="7"/>
      <c r="N178" s="7"/>
      <c r="O178" s="7"/>
      <c r="P178" s="7"/>
      <c r="Q178" s="1"/>
    </row>
    <row r="179" spans="1:17" x14ac:dyDescent="0.25">
      <c r="A179" s="12"/>
      <c r="B179" s="11"/>
      <c r="C179" s="11"/>
      <c r="D179" s="10"/>
      <c r="E179" s="13"/>
      <c r="F179" s="15"/>
      <c r="G179" s="7"/>
      <c r="H179" s="5"/>
      <c r="I179" s="7"/>
      <c r="J179" s="7"/>
      <c r="K179" s="7"/>
      <c r="L179" s="5"/>
      <c r="M179" s="14"/>
      <c r="N179" s="7"/>
      <c r="O179" s="13"/>
      <c r="P179" s="13"/>
      <c r="Q179" s="1"/>
    </row>
    <row r="180" spans="1:17" x14ac:dyDescent="0.25">
      <c r="A180" s="8"/>
      <c r="B180" s="9"/>
      <c r="C180" s="10"/>
      <c r="D180" s="11"/>
      <c r="E180" s="13"/>
      <c r="F180" s="21"/>
      <c r="G180" s="7"/>
      <c r="H180" s="7"/>
      <c r="I180" s="7"/>
      <c r="J180" s="7"/>
      <c r="K180" s="7"/>
      <c r="L180" s="7"/>
      <c r="M180" s="7"/>
      <c r="N180" s="7"/>
      <c r="O180" s="7"/>
      <c r="P180" s="7"/>
      <c r="Q180" s="1"/>
    </row>
    <row r="181" spans="1:17" x14ac:dyDescent="0.25">
      <c r="A181" s="12"/>
      <c r="B181" s="11"/>
      <c r="C181" s="11"/>
      <c r="D181" s="10"/>
      <c r="E181" s="13"/>
      <c r="F181" s="15"/>
      <c r="G181" s="7"/>
      <c r="H181" s="5"/>
      <c r="I181" s="7"/>
      <c r="J181" s="7"/>
      <c r="K181" s="7"/>
      <c r="L181" s="5"/>
      <c r="M181" s="13"/>
      <c r="N181" s="7"/>
      <c r="O181" s="13"/>
      <c r="P181" s="13"/>
      <c r="Q181" s="1"/>
    </row>
    <row r="182" spans="1:17" x14ac:dyDescent="0.25">
      <c r="A182" s="12"/>
      <c r="B182" s="11"/>
      <c r="C182" s="11"/>
      <c r="D182" s="10"/>
      <c r="E182" s="13"/>
      <c r="F182" s="15"/>
      <c r="G182" s="7"/>
      <c r="H182" s="5"/>
      <c r="I182" s="7"/>
      <c r="J182" s="7"/>
      <c r="K182" s="7"/>
      <c r="L182" s="5"/>
      <c r="M182" s="7"/>
      <c r="N182" s="7"/>
      <c r="O182" s="7"/>
      <c r="P182" s="7"/>
      <c r="Q182" s="1"/>
    </row>
    <row r="183" spans="1:17" x14ac:dyDescent="0.25">
      <c r="A183" s="12"/>
      <c r="B183" s="11"/>
      <c r="C183" s="11"/>
      <c r="D183" s="10"/>
      <c r="E183" s="13"/>
      <c r="F183" s="15"/>
      <c r="G183" s="7"/>
      <c r="H183" s="5"/>
      <c r="I183" s="7"/>
      <c r="J183" s="7"/>
      <c r="K183" s="7"/>
      <c r="L183" s="5"/>
      <c r="M183" s="7"/>
      <c r="N183" s="7"/>
      <c r="O183" s="7"/>
      <c r="P183" s="7"/>
      <c r="Q183" s="1"/>
    </row>
    <row r="184" spans="1:17" x14ac:dyDescent="0.25">
      <c r="A184" s="12"/>
      <c r="B184" s="11"/>
      <c r="C184" s="11"/>
      <c r="D184" s="10"/>
      <c r="E184" s="13"/>
      <c r="F184" s="15"/>
      <c r="G184" s="7"/>
      <c r="H184" s="5"/>
      <c r="I184" s="7"/>
      <c r="J184" s="7"/>
      <c r="K184" s="7"/>
      <c r="L184" s="5"/>
      <c r="M184" s="7"/>
      <c r="N184" s="7"/>
      <c r="O184" s="7"/>
      <c r="P184" s="7"/>
      <c r="Q184" s="1"/>
    </row>
    <row r="185" spans="1:17" x14ac:dyDescent="0.25">
      <c r="A185" s="12"/>
      <c r="B185" s="11"/>
      <c r="C185" s="11"/>
      <c r="D185" s="10"/>
      <c r="E185" s="13"/>
      <c r="F185" s="15"/>
      <c r="G185" s="7"/>
      <c r="H185" s="5"/>
      <c r="I185" s="7"/>
      <c r="J185" s="7"/>
      <c r="K185" s="7"/>
      <c r="L185" s="5"/>
      <c r="M185" s="14"/>
      <c r="N185" s="7"/>
      <c r="O185" s="13"/>
      <c r="P185" s="13"/>
      <c r="Q185" s="1"/>
    </row>
    <row r="186" spans="1:17" x14ac:dyDescent="0.25">
      <c r="A186" s="8"/>
      <c r="B186" s="9"/>
      <c r="C186" s="10"/>
      <c r="D186" s="11"/>
      <c r="E186" s="13"/>
      <c r="F186" s="21"/>
      <c r="G186" s="7"/>
      <c r="H186" s="7"/>
      <c r="I186" s="7"/>
      <c r="J186" s="7"/>
      <c r="K186" s="7"/>
      <c r="L186" s="7"/>
      <c r="M186" s="7"/>
      <c r="N186" s="7"/>
      <c r="O186" s="7"/>
      <c r="P186" s="7"/>
      <c r="Q186" s="1"/>
    </row>
    <row r="187" spans="1:17" x14ac:dyDescent="0.25">
      <c r="A187" s="12"/>
      <c r="B187" s="11"/>
      <c r="C187" s="11"/>
      <c r="D187" s="10"/>
      <c r="E187" s="13"/>
      <c r="F187" s="15"/>
      <c r="G187" s="7"/>
      <c r="H187" s="5"/>
      <c r="I187" s="7"/>
      <c r="J187" s="7"/>
      <c r="K187" s="7"/>
      <c r="L187" s="5"/>
      <c r="M187" s="13"/>
      <c r="N187" s="7"/>
      <c r="O187" s="13"/>
      <c r="P187" s="13"/>
      <c r="Q187" s="1"/>
    </row>
    <row r="188" spans="1:17" x14ac:dyDescent="0.25">
      <c r="A188" s="12"/>
      <c r="B188" s="11"/>
      <c r="C188" s="11"/>
      <c r="D188" s="10"/>
      <c r="E188" s="13"/>
      <c r="F188" s="15"/>
      <c r="G188" s="7"/>
      <c r="H188" s="5"/>
      <c r="I188" s="7"/>
      <c r="J188" s="7"/>
      <c r="K188" s="7"/>
      <c r="L188" s="5"/>
      <c r="M188" s="7"/>
      <c r="N188" s="7"/>
      <c r="O188" s="7"/>
      <c r="P188" s="7"/>
      <c r="Q188" s="3"/>
    </row>
    <row r="189" spans="1:17" x14ac:dyDescent="0.25">
      <c r="A189" s="12"/>
      <c r="B189" s="11"/>
      <c r="C189" s="11"/>
      <c r="D189" s="10"/>
      <c r="E189" s="13"/>
      <c r="F189" s="15"/>
      <c r="G189" s="7"/>
      <c r="H189" s="5"/>
      <c r="I189" s="7"/>
      <c r="J189" s="7"/>
      <c r="K189" s="7"/>
      <c r="L189" s="5"/>
      <c r="M189" s="7"/>
      <c r="N189" s="7"/>
      <c r="O189" s="7"/>
      <c r="P189" s="7"/>
      <c r="Q189" s="1"/>
    </row>
    <row r="190" spans="1:17" x14ac:dyDescent="0.25">
      <c r="A190" s="12"/>
      <c r="B190" s="11"/>
      <c r="C190" s="11"/>
      <c r="D190" s="10"/>
      <c r="E190" s="13"/>
      <c r="F190" s="15"/>
      <c r="G190" s="7"/>
      <c r="H190" s="5"/>
      <c r="I190" s="7"/>
      <c r="J190" s="7"/>
      <c r="K190" s="7"/>
      <c r="L190" s="5"/>
      <c r="M190" s="7"/>
      <c r="N190" s="7"/>
      <c r="O190" s="7"/>
      <c r="P190" s="7"/>
      <c r="Q190" s="1"/>
    </row>
    <row r="191" spans="1:17" x14ac:dyDescent="0.25">
      <c r="A191" s="12"/>
      <c r="B191" s="11"/>
      <c r="C191" s="11"/>
      <c r="D191" s="10"/>
      <c r="E191" s="13"/>
      <c r="F191" s="15"/>
      <c r="G191" s="7"/>
      <c r="H191" s="5"/>
      <c r="I191" s="7"/>
      <c r="J191" s="7"/>
      <c r="K191" s="7"/>
      <c r="L191" s="5"/>
      <c r="M191" s="14"/>
      <c r="N191" s="7"/>
      <c r="O191" s="13"/>
      <c r="P191" s="13"/>
      <c r="Q191" s="1"/>
    </row>
    <row r="192" spans="1:17" x14ac:dyDescent="0.25">
      <c r="A192" s="8"/>
      <c r="B192" s="9"/>
      <c r="C192" s="10"/>
      <c r="D192" s="11"/>
      <c r="E192" s="13"/>
      <c r="F192" s="21"/>
      <c r="G192" s="7"/>
      <c r="H192" s="7"/>
      <c r="I192" s="7"/>
      <c r="J192" s="7"/>
      <c r="K192" s="7"/>
      <c r="L192" s="7"/>
      <c r="M192" s="7"/>
      <c r="N192" s="7"/>
      <c r="O192" s="7"/>
      <c r="P192" s="7"/>
      <c r="Q192" s="1"/>
    </row>
    <row r="193" spans="1:17" x14ac:dyDescent="0.25">
      <c r="A193" s="12"/>
      <c r="B193" s="11"/>
      <c r="C193" s="11"/>
      <c r="D193" s="10"/>
      <c r="E193" s="13"/>
      <c r="F193" s="15"/>
      <c r="G193" s="7"/>
      <c r="H193" s="5"/>
      <c r="I193" s="7"/>
      <c r="J193" s="7"/>
      <c r="K193" s="7"/>
      <c r="L193" s="5"/>
      <c r="M193" s="13"/>
      <c r="N193" s="7"/>
      <c r="O193" s="13"/>
      <c r="P193" s="13"/>
      <c r="Q193" s="1"/>
    </row>
    <row r="194" spans="1:17" x14ac:dyDescent="0.25">
      <c r="A194" s="12"/>
      <c r="B194" s="11"/>
      <c r="C194" s="11"/>
      <c r="D194" s="10"/>
      <c r="E194" s="13"/>
      <c r="F194" s="15"/>
      <c r="G194" s="7"/>
      <c r="H194" s="5"/>
      <c r="I194" s="7"/>
      <c r="J194" s="7"/>
      <c r="K194" s="7"/>
      <c r="L194" s="5"/>
      <c r="M194" s="7"/>
      <c r="N194" s="7"/>
      <c r="O194" s="7"/>
      <c r="P194" s="7"/>
      <c r="Q194" s="1"/>
    </row>
    <row r="195" spans="1:17" x14ac:dyDescent="0.25">
      <c r="A195" s="12"/>
      <c r="B195" s="11"/>
      <c r="C195" s="11"/>
      <c r="D195" s="10"/>
      <c r="E195" s="13"/>
      <c r="F195" s="15"/>
      <c r="G195" s="7"/>
      <c r="H195" s="5"/>
      <c r="I195" s="7"/>
      <c r="J195" s="7"/>
      <c r="K195" s="7"/>
      <c r="L195" s="5"/>
      <c r="M195" s="7"/>
      <c r="N195" s="7"/>
      <c r="O195" s="7"/>
      <c r="P195" s="7"/>
      <c r="Q195" s="1"/>
    </row>
    <row r="196" spans="1:17" x14ac:dyDescent="0.25">
      <c r="A196" s="12"/>
      <c r="B196" s="11"/>
      <c r="C196" s="11"/>
      <c r="D196" s="10"/>
      <c r="E196" s="13"/>
      <c r="F196" s="15"/>
      <c r="G196" s="7"/>
      <c r="H196" s="5"/>
      <c r="I196" s="7"/>
      <c r="J196" s="7"/>
      <c r="K196" s="7"/>
      <c r="L196" s="5"/>
      <c r="M196" s="7"/>
      <c r="N196" s="7"/>
      <c r="O196" s="7"/>
      <c r="P196" s="7"/>
      <c r="Q196" s="1"/>
    </row>
    <row r="197" spans="1:17" x14ac:dyDescent="0.25">
      <c r="A197" s="12"/>
      <c r="B197" s="11"/>
      <c r="C197" s="11"/>
      <c r="D197" s="10"/>
      <c r="E197" s="13"/>
      <c r="F197" s="15"/>
      <c r="G197" s="7"/>
      <c r="H197" s="5"/>
      <c r="I197" s="7"/>
      <c r="J197" s="7"/>
      <c r="K197" s="7"/>
      <c r="L197" s="5"/>
      <c r="M197" s="13"/>
      <c r="N197" s="7"/>
      <c r="O197" s="13"/>
      <c r="P197" s="13"/>
      <c r="Q197" s="1"/>
    </row>
    <row r="198" spans="1:17" x14ac:dyDescent="0.25">
      <c r="A198" s="8"/>
      <c r="B198" s="9"/>
      <c r="C198" s="10"/>
      <c r="D198" s="11"/>
      <c r="E198" s="13"/>
      <c r="F198" s="21"/>
      <c r="G198" s="7"/>
      <c r="H198" s="7"/>
      <c r="I198" s="7"/>
      <c r="J198" s="7"/>
      <c r="K198" s="7"/>
      <c r="L198" s="7"/>
      <c r="M198" s="7"/>
      <c r="N198" s="7"/>
      <c r="O198" s="7"/>
      <c r="P198" s="7"/>
      <c r="Q198" s="1"/>
    </row>
    <row r="199" spans="1:17" x14ac:dyDescent="0.25">
      <c r="A199" s="12"/>
      <c r="B199" s="11"/>
      <c r="C199" s="11"/>
      <c r="D199" s="10"/>
      <c r="E199" s="13"/>
      <c r="F199" s="15"/>
      <c r="G199" s="7"/>
      <c r="H199" s="5"/>
      <c r="I199" s="7"/>
      <c r="J199" s="7"/>
      <c r="K199" s="7"/>
      <c r="L199" s="5"/>
      <c r="M199" s="14"/>
      <c r="N199" s="7"/>
      <c r="O199" s="13"/>
      <c r="P199" s="13"/>
      <c r="Q199" s="1"/>
    </row>
    <row r="200" spans="1:17" x14ac:dyDescent="0.25">
      <c r="A200" s="12"/>
      <c r="B200" s="11"/>
      <c r="C200" s="11"/>
      <c r="D200" s="10"/>
      <c r="E200" s="13"/>
      <c r="F200" s="15"/>
      <c r="G200" s="7"/>
      <c r="H200" s="5"/>
      <c r="I200" s="7"/>
      <c r="J200" s="7"/>
      <c r="K200" s="7"/>
      <c r="L200" s="5"/>
      <c r="M200" s="7"/>
      <c r="N200" s="7"/>
      <c r="O200" s="7"/>
      <c r="P200" s="7"/>
      <c r="Q200" s="1"/>
    </row>
    <row r="201" spans="1:17" x14ac:dyDescent="0.25">
      <c r="A201" s="12"/>
      <c r="B201" s="11"/>
      <c r="C201" s="11"/>
      <c r="D201" s="10"/>
      <c r="E201" s="13"/>
      <c r="F201" s="15"/>
      <c r="G201" s="7"/>
      <c r="H201" s="5"/>
      <c r="I201" s="7"/>
      <c r="J201" s="7"/>
      <c r="K201" s="7"/>
      <c r="L201" s="5"/>
      <c r="M201" s="13"/>
      <c r="N201" s="7"/>
      <c r="O201" s="7"/>
      <c r="P201" s="7"/>
      <c r="Q201" s="1"/>
    </row>
    <row r="202" spans="1:17" x14ac:dyDescent="0.25">
      <c r="A202" s="12"/>
      <c r="B202" s="11"/>
      <c r="C202" s="11"/>
      <c r="D202" s="10"/>
      <c r="E202" s="13"/>
      <c r="F202" s="15"/>
      <c r="G202" s="7"/>
      <c r="H202" s="5"/>
      <c r="I202" s="7"/>
      <c r="J202" s="7"/>
      <c r="K202" s="7"/>
      <c r="L202" s="5"/>
      <c r="M202" s="13"/>
      <c r="N202" s="7"/>
      <c r="O202" s="13"/>
      <c r="P202" s="13"/>
      <c r="Q202" s="1"/>
    </row>
    <row r="203" spans="1:17" x14ac:dyDescent="0.25">
      <c r="A203" s="12"/>
      <c r="B203" s="11"/>
      <c r="C203" s="11"/>
      <c r="D203" s="10"/>
      <c r="E203" s="13"/>
      <c r="F203" s="15"/>
      <c r="G203" s="7"/>
      <c r="H203" s="5"/>
      <c r="I203" s="7"/>
      <c r="J203" s="7"/>
      <c r="K203" s="7"/>
      <c r="L203" s="5"/>
      <c r="M203" s="7"/>
      <c r="N203" s="7"/>
      <c r="O203" s="7"/>
      <c r="P203" s="7"/>
      <c r="Q203" s="1"/>
    </row>
    <row r="204" spans="1:17" x14ac:dyDescent="0.25">
      <c r="A204" s="8"/>
      <c r="B204" s="9"/>
      <c r="C204" s="10"/>
      <c r="D204" s="11"/>
      <c r="E204" s="13"/>
      <c r="F204" s="21"/>
      <c r="G204" s="7"/>
      <c r="H204" s="7"/>
      <c r="I204" s="7"/>
      <c r="J204" s="7"/>
      <c r="K204" s="7"/>
      <c r="L204" s="7"/>
      <c r="M204" s="7"/>
      <c r="N204" s="7"/>
      <c r="O204" s="7"/>
      <c r="P204" s="7"/>
      <c r="Q204" s="1"/>
    </row>
    <row r="205" spans="1:17" x14ac:dyDescent="0.25">
      <c r="A205" s="12"/>
      <c r="B205" s="11"/>
      <c r="C205" s="11"/>
      <c r="D205" s="10"/>
      <c r="E205" s="13"/>
      <c r="F205" s="15"/>
      <c r="G205" s="7"/>
      <c r="H205" s="5"/>
      <c r="I205" s="7"/>
      <c r="J205" s="7"/>
      <c r="K205" s="7"/>
      <c r="L205" s="5"/>
      <c r="M205" s="7"/>
      <c r="N205" s="7"/>
      <c r="O205" s="7"/>
      <c r="P205" s="7"/>
      <c r="Q205" s="1"/>
    </row>
    <row r="206" spans="1:17" x14ac:dyDescent="0.25">
      <c r="A206" s="12"/>
      <c r="B206" s="11"/>
      <c r="C206" s="11"/>
      <c r="D206" s="10"/>
      <c r="E206" s="13"/>
      <c r="F206" s="15"/>
      <c r="G206" s="16"/>
      <c r="H206" s="5"/>
      <c r="I206" s="7"/>
      <c r="J206" s="7"/>
      <c r="K206" s="7"/>
      <c r="L206" s="5"/>
      <c r="M206" s="7"/>
      <c r="N206" s="7"/>
      <c r="O206" s="7"/>
      <c r="P206" s="7"/>
      <c r="Q206" s="1"/>
    </row>
    <row r="207" spans="1:17" x14ac:dyDescent="0.25">
      <c r="A207" s="12"/>
      <c r="B207" s="11"/>
      <c r="C207" s="11"/>
      <c r="D207" s="10"/>
      <c r="E207" s="13"/>
      <c r="F207" s="15"/>
      <c r="G207" s="16"/>
      <c r="H207" s="5"/>
      <c r="I207" s="13"/>
      <c r="J207" s="7"/>
      <c r="K207" s="7"/>
      <c r="L207" s="5"/>
      <c r="M207" s="13"/>
      <c r="N207" s="7"/>
      <c r="O207" s="13"/>
      <c r="P207" s="13"/>
      <c r="Q207" s="1"/>
    </row>
    <row r="208" spans="1:17" x14ac:dyDescent="0.25">
      <c r="A208" s="12"/>
      <c r="B208" s="11"/>
      <c r="C208" s="11"/>
      <c r="D208" s="10"/>
      <c r="E208" s="13"/>
      <c r="F208" s="15"/>
      <c r="G208" s="16"/>
      <c r="H208" s="5"/>
      <c r="I208" s="7"/>
      <c r="J208" s="7"/>
      <c r="K208" s="7"/>
      <c r="L208" s="5"/>
      <c r="M208" s="7"/>
      <c r="N208" s="7"/>
      <c r="O208" s="7"/>
      <c r="P208" s="7"/>
      <c r="Q208" s="1"/>
    </row>
    <row r="209" spans="1:17" x14ac:dyDescent="0.25">
      <c r="A209" s="12"/>
      <c r="B209" s="11"/>
      <c r="C209" s="11"/>
      <c r="D209" s="10"/>
      <c r="E209" s="13"/>
      <c r="F209" s="15"/>
      <c r="G209" s="16"/>
      <c r="H209" s="5"/>
      <c r="I209" s="13"/>
      <c r="J209" s="7"/>
      <c r="K209" s="7"/>
      <c r="L209" s="5"/>
      <c r="M209" s="7"/>
      <c r="N209" s="7"/>
      <c r="O209" s="7"/>
      <c r="P209" s="7"/>
      <c r="Q209" s="1"/>
    </row>
    <row r="210" spans="1:17" x14ac:dyDescent="0.25">
      <c r="A210" s="12"/>
      <c r="B210" s="11"/>
      <c r="C210" s="11"/>
      <c r="D210" s="10"/>
      <c r="E210" s="13"/>
      <c r="F210" s="15"/>
      <c r="G210" s="16"/>
      <c r="H210" s="5"/>
      <c r="I210" s="7"/>
      <c r="J210" s="7"/>
      <c r="K210" s="7"/>
      <c r="L210" s="5"/>
      <c r="M210" s="13"/>
      <c r="N210" s="7"/>
      <c r="O210" s="7"/>
      <c r="P210" s="13"/>
      <c r="Q210" s="1"/>
    </row>
    <row r="211" spans="1:17" x14ac:dyDescent="0.25">
      <c r="A211" s="8"/>
      <c r="B211" s="9"/>
      <c r="C211" s="10"/>
      <c r="D211" s="11"/>
      <c r="E211" s="13"/>
      <c r="F211" s="21"/>
      <c r="G211" s="7"/>
      <c r="H211" s="7"/>
      <c r="I211" s="7"/>
      <c r="J211" s="7"/>
      <c r="K211" s="7"/>
      <c r="L211" s="7"/>
      <c r="M211" s="7"/>
      <c r="N211" s="7"/>
      <c r="O211" s="7"/>
      <c r="P211" s="7"/>
      <c r="Q211" s="1"/>
    </row>
    <row r="212" spans="1:17" x14ac:dyDescent="0.25">
      <c r="A212" s="12"/>
      <c r="B212" s="11"/>
      <c r="C212" s="11"/>
      <c r="D212" s="10"/>
      <c r="E212" s="13"/>
      <c r="F212" s="15"/>
      <c r="G212" s="7"/>
      <c r="H212" s="5"/>
      <c r="I212" s="7"/>
      <c r="J212" s="7"/>
      <c r="K212" s="7"/>
      <c r="L212" s="5"/>
      <c r="M212" s="7"/>
      <c r="N212" s="7"/>
      <c r="O212" s="7"/>
      <c r="P212" s="7"/>
      <c r="Q212" s="1"/>
    </row>
    <row r="213" spans="1:17" x14ac:dyDescent="0.25">
      <c r="A213" s="12"/>
      <c r="B213" s="11"/>
      <c r="C213" s="11"/>
      <c r="D213" s="10"/>
      <c r="E213" s="13"/>
      <c r="F213" s="15"/>
      <c r="G213" s="7"/>
      <c r="H213" s="5"/>
      <c r="I213" s="7"/>
      <c r="J213" s="7"/>
      <c r="K213" s="7"/>
      <c r="L213" s="5"/>
      <c r="M213" s="7"/>
      <c r="N213" s="7"/>
      <c r="O213" s="7"/>
      <c r="P213" s="7"/>
      <c r="Q213" s="1"/>
    </row>
    <row r="214" spans="1:17" x14ac:dyDescent="0.25">
      <c r="A214" s="12"/>
      <c r="B214" s="11"/>
      <c r="C214" s="11"/>
      <c r="D214" s="10"/>
      <c r="E214" s="13"/>
      <c r="F214" s="15"/>
      <c r="G214" s="7"/>
      <c r="H214" s="5"/>
      <c r="I214" s="7"/>
      <c r="J214" s="7"/>
      <c r="K214" s="7"/>
      <c r="L214" s="5"/>
      <c r="M214" s="13"/>
      <c r="N214" s="7"/>
      <c r="O214" s="13"/>
      <c r="P214" s="7"/>
      <c r="Q214" s="1"/>
    </row>
    <row r="215" spans="1:17" x14ac:dyDescent="0.25">
      <c r="A215" s="12"/>
      <c r="B215" s="11"/>
      <c r="C215" s="11"/>
      <c r="D215" s="10"/>
      <c r="E215" s="13"/>
      <c r="F215" s="15"/>
      <c r="G215" s="7"/>
      <c r="H215" s="5"/>
      <c r="I215" s="7"/>
      <c r="J215" s="7"/>
      <c r="K215" s="7"/>
      <c r="L215" s="5"/>
      <c r="M215" s="13"/>
      <c r="N215" s="7"/>
      <c r="O215" s="13"/>
      <c r="P215" s="13"/>
      <c r="Q215" s="1"/>
    </row>
    <row r="216" spans="1:17" x14ac:dyDescent="0.25">
      <c r="A216" s="12"/>
      <c r="B216" s="11"/>
      <c r="C216" s="11"/>
      <c r="D216" s="10"/>
      <c r="E216" s="13"/>
      <c r="F216" s="15"/>
      <c r="G216" s="7"/>
      <c r="H216" s="5"/>
      <c r="I216" s="7"/>
      <c r="J216" s="7"/>
      <c r="K216" s="7"/>
      <c r="L216" s="5"/>
      <c r="M216" s="7"/>
      <c r="N216" s="7"/>
      <c r="O216" s="7"/>
      <c r="P216" s="7"/>
      <c r="Q216" s="1"/>
    </row>
    <row r="217" spans="1:17" x14ac:dyDescent="0.25">
      <c r="A217" s="12"/>
      <c r="B217" s="11"/>
      <c r="C217" s="11"/>
      <c r="D217" s="10"/>
      <c r="E217" s="13"/>
      <c r="F217" s="15"/>
      <c r="G217" s="7"/>
      <c r="H217" s="5"/>
      <c r="I217" s="7"/>
      <c r="J217" s="7"/>
      <c r="K217" s="7"/>
      <c r="L217" s="5"/>
      <c r="M217" s="13"/>
      <c r="N217" s="7"/>
      <c r="O217" s="7"/>
      <c r="P217" s="7"/>
      <c r="Q217" s="1"/>
    </row>
    <row r="218" spans="1:17" x14ac:dyDescent="0.25">
      <c r="A218" s="12"/>
      <c r="B218" s="11"/>
      <c r="C218" s="11"/>
      <c r="D218" s="10"/>
      <c r="E218" s="13"/>
      <c r="F218" s="15"/>
      <c r="G218" s="7"/>
      <c r="H218" s="5"/>
      <c r="I218" s="7"/>
      <c r="J218" s="7"/>
      <c r="K218" s="7"/>
      <c r="L218" s="5"/>
      <c r="M218" s="14"/>
      <c r="N218" s="7"/>
      <c r="O218" s="13"/>
      <c r="P218" s="7"/>
      <c r="Q218" s="1"/>
    </row>
    <row r="219" spans="1:17" x14ac:dyDescent="0.25">
      <c r="A219" s="12"/>
      <c r="B219" s="11"/>
      <c r="C219" s="11"/>
      <c r="D219" s="10"/>
      <c r="E219" s="13"/>
      <c r="F219" s="15"/>
      <c r="G219" s="7"/>
      <c r="H219" s="5"/>
      <c r="I219" s="7"/>
      <c r="J219" s="7"/>
      <c r="K219" s="7"/>
      <c r="L219" s="5"/>
      <c r="M219" s="13"/>
      <c r="N219" s="7"/>
      <c r="O219" s="13"/>
      <c r="P219" s="13"/>
      <c r="Q219" s="1"/>
    </row>
    <row r="220" spans="1:17" x14ac:dyDescent="0.25">
      <c r="A220" s="12"/>
      <c r="B220" s="11"/>
      <c r="C220" s="11"/>
      <c r="D220" s="10"/>
      <c r="E220" s="13"/>
      <c r="F220" s="15"/>
      <c r="G220" s="7"/>
      <c r="H220" s="5"/>
      <c r="I220" s="7"/>
      <c r="J220" s="7"/>
      <c r="K220" s="7"/>
      <c r="L220" s="5"/>
      <c r="M220" s="13"/>
      <c r="N220" s="7"/>
      <c r="O220" s="13"/>
      <c r="P220" s="7"/>
      <c r="Q220" s="1"/>
    </row>
    <row r="221" spans="1:17" x14ac:dyDescent="0.25">
      <c r="A221" s="8"/>
      <c r="B221" s="9"/>
      <c r="C221" s="10"/>
      <c r="D221" s="11"/>
      <c r="E221" s="13"/>
      <c r="F221" s="21"/>
      <c r="G221" s="7"/>
      <c r="H221" s="7"/>
      <c r="I221" s="7"/>
      <c r="J221" s="7"/>
      <c r="K221" s="7"/>
      <c r="L221" s="7"/>
      <c r="M221" s="7"/>
      <c r="N221" s="7"/>
      <c r="O221" s="7"/>
      <c r="P221" s="7"/>
      <c r="Q221" s="1"/>
    </row>
    <row r="222" spans="1:17" x14ac:dyDescent="0.25">
      <c r="A222" s="12"/>
      <c r="B222" s="11"/>
      <c r="C222" s="11"/>
      <c r="D222" s="10"/>
      <c r="E222" s="13"/>
      <c r="F222" s="15"/>
      <c r="G222" s="7"/>
      <c r="H222" s="5"/>
      <c r="I222" s="7"/>
      <c r="J222" s="7"/>
      <c r="K222" s="7"/>
      <c r="L222" s="5"/>
      <c r="M222" s="7"/>
      <c r="N222" s="7"/>
      <c r="O222" s="7"/>
      <c r="P222" s="7"/>
      <c r="Q222" s="1"/>
    </row>
    <row r="223" spans="1:17" x14ac:dyDescent="0.25">
      <c r="A223" s="12"/>
      <c r="B223" s="11"/>
      <c r="C223" s="11"/>
      <c r="D223" s="10"/>
      <c r="E223" s="13"/>
      <c r="F223" s="15"/>
      <c r="G223" s="7"/>
      <c r="H223" s="5"/>
      <c r="I223" s="7"/>
      <c r="J223" s="7"/>
      <c r="K223" s="7"/>
      <c r="L223" s="5"/>
      <c r="M223" s="14"/>
      <c r="N223" s="7"/>
      <c r="O223" s="13"/>
      <c r="P223" s="7"/>
      <c r="Q223" s="1"/>
    </row>
    <row r="224" spans="1:17" x14ac:dyDescent="0.25">
      <c r="A224" s="8"/>
      <c r="B224" s="9"/>
      <c r="C224" s="10"/>
      <c r="D224" s="11"/>
      <c r="E224" s="13"/>
      <c r="F224" s="21"/>
      <c r="G224" s="7"/>
      <c r="H224" s="7"/>
      <c r="I224" s="7"/>
      <c r="J224" s="7"/>
      <c r="K224" s="7"/>
      <c r="L224" s="7"/>
      <c r="M224" s="7"/>
      <c r="N224" s="7"/>
      <c r="O224" s="7"/>
      <c r="P224" s="7"/>
      <c r="Q224" s="1"/>
    </row>
    <row r="225" spans="1:17" x14ac:dyDescent="0.25">
      <c r="A225" s="12"/>
      <c r="B225" s="11"/>
      <c r="C225" s="11"/>
      <c r="D225" s="10"/>
      <c r="E225" s="13"/>
      <c r="F225" s="15"/>
      <c r="G225" s="7"/>
      <c r="H225" s="5"/>
      <c r="I225" s="7"/>
      <c r="J225" s="7"/>
      <c r="K225" s="7"/>
      <c r="L225" s="5"/>
      <c r="M225" s="13"/>
      <c r="N225" s="13"/>
      <c r="O225" s="13"/>
      <c r="P225" s="13"/>
      <c r="Q225" s="1"/>
    </row>
    <row r="226" spans="1:17" x14ac:dyDescent="0.25">
      <c r="A226" s="12"/>
      <c r="B226" s="11"/>
      <c r="C226" s="11"/>
      <c r="D226" s="10"/>
      <c r="E226" s="13"/>
      <c r="F226" s="15"/>
      <c r="G226" s="7"/>
      <c r="H226" s="5"/>
      <c r="I226" s="7"/>
      <c r="J226" s="7"/>
      <c r="K226" s="7"/>
      <c r="L226" s="5"/>
      <c r="M226" s="7"/>
      <c r="N226" s="7"/>
      <c r="O226" s="7"/>
      <c r="P226" s="7"/>
      <c r="Q226" s="1"/>
    </row>
    <row r="227" spans="1:17" x14ac:dyDescent="0.25">
      <c r="A227" s="12"/>
      <c r="B227" s="11"/>
      <c r="C227" s="11"/>
      <c r="D227" s="10"/>
      <c r="E227" s="13"/>
      <c r="F227" s="15"/>
      <c r="G227" s="7"/>
      <c r="H227" s="5"/>
      <c r="I227" s="7"/>
      <c r="J227" s="7"/>
      <c r="K227" s="7"/>
      <c r="L227" s="5"/>
      <c r="M227" s="14"/>
      <c r="N227" s="7"/>
      <c r="O227" s="13"/>
      <c r="P227" s="13"/>
      <c r="Q227" s="1"/>
    </row>
    <row r="228" spans="1:17" x14ac:dyDescent="0.25">
      <c r="A228" s="12"/>
      <c r="B228" s="11"/>
      <c r="C228" s="11"/>
      <c r="D228" s="10"/>
      <c r="E228" s="13"/>
      <c r="F228" s="15"/>
      <c r="G228" s="7"/>
      <c r="H228" s="5"/>
      <c r="I228" s="7"/>
      <c r="J228" s="7"/>
      <c r="K228" s="7"/>
      <c r="L228" s="5"/>
      <c r="M228" s="14"/>
      <c r="N228" s="7"/>
      <c r="O228" s="13"/>
      <c r="P228" s="13"/>
      <c r="Q228" s="1"/>
    </row>
    <row r="229" spans="1:17" x14ac:dyDescent="0.25">
      <c r="A229" s="8"/>
      <c r="B229" s="9"/>
      <c r="C229" s="10"/>
      <c r="D229" s="11"/>
      <c r="E229" s="13"/>
      <c r="F229" s="21"/>
      <c r="G229" s="7"/>
      <c r="H229" s="7"/>
      <c r="I229" s="7"/>
      <c r="J229" s="7"/>
      <c r="K229" s="7"/>
      <c r="L229" s="7"/>
      <c r="M229" s="7"/>
      <c r="N229" s="7"/>
      <c r="O229" s="7"/>
      <c r="P229" s="7"/>
      <c r="Q229" s="1"/>
    </row>
    <row r="230" spans="1:17" x14ac:dyDescent="0.25">
      <c r="A230" s="12"/>
      <c r="B230" s="11"/>
      <c r="C230" s="11"/>
      <c r="D230" s="10"/>
      <c r="E230" s="13"/>
      <c r="F230" s="15"/>
      <c r="G230" s="7"/>
      <c r="H230" s="5"/>
      <c r="I230" s="7"/>
      <c r="J230" s="7"/>
      <c r="K230" s="7"/>
      <c r="L230" s="5"/>
      <c r="M230" s="7"/>
      <c r="N230" s="7"/>
      <c r="O230" s="7"/>
      <c r="P230" s="7"/>
      <c r="Q230" s="1"/>
    </row>
    <row r="231" spans="1:17" x14ac:dyDescent="0.25">
      <c r="A231" s="12"/>
      <c r="B231" s="11"/>
      <c r="C231" s="11"/>
      <c r="D231" s="10"/>
      <c r="E231" s="13"/>
      <c r="F231" s="15"/>
      <c r="G231" s="7"/>
      <c r="H231" s="5"/>
      <c r="I231" s="7"/>
      <c r="J231" s="7"/>
      <c r="K231" s="7"/>
      <c r="L231" s="5"/>
      <c r="M231" s="13"/>
      <c r="N231" s="7"/>
      <c r="O231" s="13"/>
      <c r="P231" s="7"/>
      <c r="Q231" s="1"/>
    </row>
    <row r="232" spans="1:17" x14ac:dyDescent="0.25">
      <c r="A232" s="12"/>
      <c r="B232" s="11"/>
      <c r="C232" s="11"/>
      <c r="D232" s="10"/>
      <c r="E232" s="13"/>
      <c r="F232" s="15"/>
      <c r="G232" s="7"/>
      <c r="H232" s="5"/>
      <c r="I232" s="7"/>
      <c r="J232" s="7"/>
      <c r="K232" s="7"/>
      <c r="L232" s="5"/>
      <c r="M232" s="14"/>
      <c r="N232" s="7"/>
      <c r="O232" s="13"/>
      <c r="P232" s="7"/>
      <c r="Q232" s="1"/>
    </row>
    <row r="233" spans="1:17" x14ac:dyDescent="0.25">
      <c r="A233" s="12"/>
      <c r="B233" s="11"/>
      <c r="C233" s="11"/>
      <c r="D233" s="10"/>
      <c r="E233" s="13"/>
      <c r="F233" s="15"/>
      <c r="G233" s="7"/>
      <c r="H233" s="5"/>
      <c r="I233" s="7"/>
      <c r="J233" s="7"/>
      <c r="K233" s="7"/>
      <c r="L233" s="5"/>
      <c r="M233" s="14"/>
      <c r="N233" s="7"/>
      <c r="O233" s="13"/>
      <c r="P233" s="7"/>
      <c r="Q233" s="1"/>
    </row>
    <row r="234" spans="1:17" x14ac:dyDescent="0.25">
      <c r="A234" s="12"/>
      <c r="B234" s="11"/>
      <c r="C234" s="11"/>
      <c r="D234" s="10"/>
      <c r="E234" s="13"/>
      <c r="F234" s="15"/>
      <c r="G234" s="7"/>
      <c r="H234" s="5"/>
      <c r="I234" s="7"/>
      <c r="J234" s="7"/>
      <c r="K234" s="7"/>
      <c r="L234" s="5"/>
      <c r="M234" s="14"/>
      <c r="N234" s="7"/>
      <c r="O234" s="13"/>
      <c r="P234" s="7"/>
      <c r="Q234" s="1"/>
    </row>
    <row r="235" spans="1:17" x14ac:dyDescent="0.25">
      <c r="A235" s="12"/>
      <c r="B235" s="11"/>
      <c r="C235" s="11"/>
      <c r="D235" s="10"/>
      <c r="E235" s="13"/>
      <c r="F235" s="15"/>
      <c r="G235" s="7"/>
      <c r="H235" s="5"/>
      <c r="I235" s="7"/>
      <c r="J235" s="7"/>
      <c r="K235" s="7"/>
      <c r="L235" s="5"/>
      <c r="M235" s="13"/>
      <c r="N235" s="7"/>
      <c r="O235" s="13"/>
      <c r="P235" s="7"/>
      <c r="Q235" s="1"/>
    </row>
    <row r="236" spans="1:17" x14ac:dyDescent="0.25">
      <c r="A236" s="12"/>
      <c r="B236" s="11"/>
      <c r="C236" s="11"/>
      <c r="D236" s="10"/>
      <c r="E236" s="13"/>
      <c r="F236" s="15"/>
      <c r="G236" s="7"/>
      <c r="H236" s="5"/>
      <c r="I236" s="7"/>
      <c r="J236" s="7"/>
      <c r="K236" s="7"/>
      <c r="L236" s="5"/>
      <c r="M236" s="13"/>
      <c r="N236" s="13"/>
      <c r="O236" s="13"/>
      <c r="P236" s="13"/>
      <c r="Q236" s="1"/>
    </row>
    <row r="237" spans="1:17" x14ac:dyDescent="0.25">
      <c r="A237" s="12"/>
      <c r="B237" s="11"/>
      <c r="C237" s="11"/>
      <c r="D237" s="10"/>
      <c r="E237" s="13"/>
      <c r="F237" s="15"/>
      <c r="G237" s="7"/>
      <c r="H237" s="5"/>
      <c r="I237" s="7"/>
      <c r="J237" s="7"/>
      <c r="K237" s="7"/>
      <c r="L237" s="5"/>
      <c r="M237" s="7"/>
      <c r="N237" s="7"/>
      <c r="O237" s="7"/>
      <c r="P237" s="7"/>
      <c r="Q237" s="1"/>
    </row>
    <row r="238" spans="1:17" x14ac:dyDescent="0.25">
      <c r="A238" s="8"/>
      <c r="B238" s="9"/>
      <c r="C238" s="10"/>
      <c r="D238" s="11"/>
      <c r="E238" s="13"/>
      <c r="F238" s="21"/>
      <c r="G238" s="7"/>
      <c r="H238" s="7"/>
      <c r="I238" s="7"/>
      <c r="J238" s="7"/>
      <c r="K238" s="7"/>
      <c r="L238" s="7"/>
      <c r="M238" s="7"/>
      <c r="N238" s="7"/>
      <c r="O238" s="7"/>
      <c r="P238" s="7"/>
      <c r="Q238" s="1"/>
    </row>
    <row r="239" spans="1:17" x14ac:dyDescent="0.25">
      <c r="A239" s="12"/>
      <c r="B239" s="11"/>
      <c r="C239" s="11"/>
      <c r="D239" s="10"/>
      <c r="E239" s="13"/>
      <c r="F239" s="15"/>
      <c r="G239" s="7"/>
      <c r="H239" s="5"/>
      <c r="I239" s="7"/>
      <c r="J239" s="7"/>
      <c r="K239" s="7"/>
      <c r="L239" s="5"/>
      <c r="M239" s="13"/>
      <c r="N239" s="7"/>
      <c r="O239" s="13"/>
      <c r="P239" s="7"/>
      <c r="Q239" s="1"/>
    </row>
    <row r="240" spans="1:17" x14ac:dyDescent="0.25">
      <c r="A240" s="12"/>
      <c r="B240" s="11"/>
      <c r="C240" s="11"/>
      <c r="D240" s="10"/>
      <c r="E240" s="13"/>
      <c r="F240" s="15"/>
      <c r="G240" s="7"/>
      <c r="H240" s="5"/>
      <c r="I240" s="7"/>
      <c r="J240" s="7"/>
      <c r="K240" s="7"/>
      <c r="L240" s="5"/>
      <c r="M240" s="14"/>
      <c r="N240" s="7"/>
      <c r="O240" s="13"/>
      <c r="P240" s="7"/>
      <c r="Q240" s="1"/>
    </row>
    <row r="241" spans="1:17" x14ac:dyDescent="0.25">
      <c r="A241" s="12"/>
      <c r="B241" s="11"/>
      <c r="C241" s="11"/>
      <c r="D241" s="10"/>
      <c r="E241" s="13"/>
      <c r="F241" s="15"/>
      <c r="G241" s="7"/>
      <c r="H241" s="5"/>
      <c r="I241" s="7"/>
      <c r="J241" s="7"/>
      <c r="K241" s="7"/>
      <c r="L241" s="5"/>
      <c r="M241" s="14"/>
      <c r="N241" s="7"/>
      <c r="O241" s="13"/>
      <c r="P241" s="7"/>
      <c r="Q241" s="1"/>
    </row>
    <row r="242" spans="1:17" x14ac:dyDescent="0.25">
      <c r="A242" s="12"/>
      <c r="B242" s="11"/>
      <c r="C242" s="11"/>
      <c r="D242" s="10"/>
      <c r="E242" s="13"/>
      <c r="F242" s="15"/>
      <c r="G242" s="7"/>
      <c r="H242" s="5"/>
      <c r="I242" s="7"/>
      <c r="J242" s="7"/>
      <c r="K242" s="7"/>
      <c r="L242" s="5"/>
      <c r="M242" s="14"/>
      <c r="N242" s="7"/>
      <c r="O242" s="13"/>
      <c r="P242" s="7"/>
      <c r="Q242" s="1"/>
    </row>
    <row r="243" spans="1:17" x14ac:dyDescent="0.25">
      <c r="A243" s="12"/>
      <c r="B243" s="11"/>
      <c r="C243" s="11"/>
      <c r="D243" s="10"/>
      <c r="E243" s="13"/>
      <c r="F243" s="15"/>
      <c r="G243" s="7"/>
      <c r="H243" s="5"/>
      <c r="I243" s="7"/>
      <c r="J243" s="7"/>
      <c r="K243" s="7"/>
      <c r="L243" s="5"/>
      <c r="M243" s="14"/>
      <c r="N243" s="7"/>
      <c r="O243" s="13"/>
      <c r="P243" s="7"/>
      <c r="Q243" s="1"/>
    </row>
    <row r="244" spans="1:17" x14ac:dyDescent="0.25">
      <c r="A244" s="12"/>
      <c r="B244" s="11"/>
      <c r="C244" s="11"/>
      <c r="D244" s="10"/>
      <c r="E244" s="13"/>
      <c r="F244" s="15"/>
      <c r="G244" s="7"/>
      <c r="H244" s="5"/>
      <c r="I244" s="7"/>
      <c r="J244" s="7"/>
      <c r="K244" s="7"/>
      <c r="L244" s="5"/>
      <c r="M244" s="7"/>
      <c r="N244" s="7"/>
      <c r="O244" s="7"/>
      <c r="P244" s="7"/>
      <c r="Q244" s="1"/>
    </row>
    <row r="245" spans="1:17" x14ac:dyDescent="0.25">
      <c r="A245" s="8"/>
      <c r="B245" s="9"/>
      <c r="C245" s="10"/>
      <c r="D245" s="11"/>
      <c r="E245" s="13"/>
      <c r="F245" s="21"/>
      <c r="G245" s="7"/>
      <c r="H245" s="7"/>
      <c r="I245" s="7"/>
      <c r="J245" s="7"/>
      <c r="K245" s="7"/>
      <c r="L245" s="7"/>
      <c r="M245" s="7"/>
      <c r="N245" s="7"/>
      <c r="O245" s="7"/>
      <c r="P245" s="7"/>
      <c r="Q245" s="1"/>
    </row>
    <row r="246" spans="1:17" x14ac:dyDescent="0.25">
      <c r="A246" s="12"/>
      <c r="B246" s="11"/>
      <c r="C246" s="11"/>
      <c r="D246" s="10"/>
      <c r="E246" s="13"/>
      <c r="F246" s="15"/>
      <c r="G246" s="7"/>
      <c r="H246" s="5"/>
      <c r="I246" s="7"/>
      <c r="J246" s="7"/>
      <c r="K246" s="7"/>
      <c r="L246" s="5"/>
      <c r="M246" s="7"/>
      <c r="N246" s="7"/>
      <c r="O246" s="7"/>
      <c r="P246" s="7"/>
      <c r="Q246" s="1"/>
    </row>
    <row r="247" spans="1:17" x14ac:dyDescent="0.25">
      <c r="A247" s="12"/>
      <c r="B247" s="11"/>
      <c r="C247" s="11"/>
      <c r="D247" s="10"/>
      <c r="E247" s="13"/>
      <c r="F247" s="15"/>
      <c r="G247" s="7"/>
      <c r="H247" s="5"/>
      <c r="I247" s="7"/>
      <c r="J247" s="7"/>
      <c r="K247" s="7"/>
      <c r="L247" s="5"/>
      <c r="M247" s="7"/>
      <c r="N247" s="7"/>
      <c r="O247" s="7"/>
      <c r="P247" s="7"/>
      <c r="Q247" s="1"/>
    </row>
    <row r="248" spans="1:17" x14ac:dyDescent="0.25">
      <c r="A248" s="12"/>
      <c r="B248" s="11"/>
      <c r="C248" s="11"/>
      <c r="D248" s="10"/>
      <c r="E248" s="13"/>
      <c r="F248" s="15"/>
      <c r="G248" s="7"/>
      <c r="H248" s="5"/>
      <c r="I248" s="7"/>
      <c r="J248" s="7"/>
      <c r="K248" s="7"/>
      <c r="L248" s="5"/>
      <c r="M248" s="7"/>
      <c r="N248" s="7"/>
      <c r="O248" s="7"/>
      <c r="P248" s="7"/>
      <c r="Q248" s="1"/>
    </row>
    <row r="249" spans="1:17" x14ac:dyDescent="0.25">
      <c r="A249" s="12"/>
      <c r="B249" s="11"/>
      <c r="C249" s="11"/>
      <c r="D249" s="10"/>
      <c r="E249" s="13"/>
      <c r="F249" s="15"/>
      <c r="G249" s="7"/>
      <c r="H249" s="5"/>
      <c r="I249" s="7"/>
      <c r="J249" s="7"/>
      <c r="K249" s="7"/>
      <c r="L249" s="5"/>
      <c r="M249" s="7"/>
      <c r="N249" s="7"/>
      <c r="O249" s="7"/>
      <c r="P249" s="7"/>
      <c r="Q249" s="1"/>
    </row>
    <row r="250" spans="1:17" x14ac:dyDescent="0.25">
      <c r="A250" s="12"/>
      <c r="B250" s="11"/>
      <c r="C250" s="11"/>
      <c r="D250" s="10"/>
      <c r="E250" s="13"/>
      <c r="F250" s="15"/>
      <c r="G250" s="7"/>
      <c r="H250" s="5"/>
      <c r="I250" s="7"/>
      <c r="J250" s="7"/>
      <c r="K250" s="7"/>
      <c r="L250" s="5"/>
      <c r="M250" s="7"/>
      <c r="N250" s="7"/>
      <c r="O250" s="7"/>
      <c r="P250" s="7"/>
      <c r="Q250" s="1"/>
    </row>
    <row r="251" spans="1:17" x14ac:dyDescent="0.25">
      <c r="A251" s="12"/>
      <c r="B251" s="11"/>
      <c r="C251" s="11"/>
      <c r="D251" s="10"/>
      <c r="E251" s="13"/>
      <c r="F251" s="15"/>
      <c r="G251" s="7"/>
      <c r="H251" s="5"/>
      <c r="I251" s="7"/>
      <c r="J251" s="7"/>
      <c r="K251" s="7"/>
      <c r="L251" s="5"/>
      <c r="M251" s="7"/>
      <c r="N251" s="7"/>
      <c r="O251" s="7"/>
      <c r="P251" s="7"/>
      <c r="Q251" s="1"/>
    </row>
    <row r="252" spans="1:17" x14ac:dyDescent="0.25">
      <c r="A252" s="8"/>
      <c r="B252" s="9"/>
      <c r="C252" s="10"/>
      <c r="D252" s="11"/>
      <c r="E252" s="13"/>
      <c r="F252" s="21"/>
      <c r="G252" s="7"/>
      <c r="H252" s="7"/>
      <c r="I252" s="7"/>
      <c r="J252" s="7"/>
      <c r="K252" s="7"/>
      <c r="L252" s="7"/>
      <c r="M252" s="7"/>
      <c r="N252" s="7"/>
      <c r="O252" s="7"/>
      <c r="P252" s="7"/>
      <c r="Q252" s="1"/>
    </row>
    <row r="253" spans="1:17" x14ac:dyDescent="0.25">
      <c r="A253" s="12"/>
      <c r="B253" s="11"/>
      <c r="C253" s="11"/>
      <c r="D253" s="10"/>
      <c r="E253" s="13"/>
      <c r="F253" s="15"/>
      <c r="G253" s="7"/>
      <c r="H253" s="5"/>
      <c r="I253" s="7"/>
      <c r="J253" s="7"/>
      <c r="K253" s="7"/>
      <c r="L253" s="5"/>
      <c r="M253" s="7"/>
      <c r="N253" s="7"/>
      <c r="O253" s="7"/>
      <c r="P253" s="7"/>
      <c r="Q253" s="1"/>
    </row>
    <row r="254" spans="1:17" x14ac:dyDescent="0.25">
      <c r="A254" s="12"/>
      <c r="B254" s="11"/>
      <c r="C254" s="11"/>
      <c r="D254" s="10"/>
      <c r="E254" s="13"/>
      <c r="F254" s="15"/>
      <c r="G254" s="7"/>
      <c r="H254" s="5"/>
      <c r="I254" s="7"/>
      <c r="J254" s="7"/>
      <c r="K254" s="7"/>
      <c r="L254" s="5"/>
      <c r="M254" s="7"/>
      <c r="N254" s="7"/>
      <c r="O254" s="7"/>
      <c r="P254" s="7"/>
      <c r="Q254" s="1"/>
    </row>
    <row r="255" spans="1:17" x14ac:dyDescent="0.25">
      <c r="A255" s="12"/>
      <c r="B255" s="11"/>
      <c r="C255" s="11"/>
      <c r="D255" s="10"/>
      <c r="E255" s="13"/>
      <c r="F255" s="15"/>
      <c r="G255" s="7"/>
      <c r="H255" s="5"/>
      <c r="I255" s="7"/>
      <c r="J255" s="7"/>
      <c r="K255" s="7"/>
      <c r="L255" s="5"/>
      <c r="M255" s="18"/>
      <c r="N255" s="7"/>
      <c r="O255" s="13"/>
      <c r="P255" s="13"/>
      <c r="Q255" s="1"/>
    </row>
    <row r="256" spans="1:17" x14ac:dyDescent="0.25">
      <c r="A256" s="12"/>
      <c r="B256" s="11"/>
      <c r="C256" s="11"/>
      <c r="D256" s="10"/>
      <c r="E256" s="13"/>
      <c r="F256" s="15"/>
      <c r="G256" s="7"/>
      <c r="H256" s="5"/>
      <c r="I256" s="7"/>
      <c r="J256" s="7"/>
      <c r="K256" s="7"/>
      <c r="L256" s="5"/>
      <c r="M256" s="18"/>
      <c r="N256" s="7"/>
      <c r="O256" s="13"/>
      <c r="P256" s="13"/>
      <c r="Q256" s="1"/>
    </row>
    <row r="257" spans="1:17" x14ac:dyDescent="0.25">
      <c r="A257" s="12"/>
      <c r="B257" s="11"/>
      <c r="C257" s="11"/>
      <c r="D257" s="10"/>
      <c r="E257" s="13"/>
      <c r="F257" s="15"/>
      <c r="G257" s="7"/>
      <c r="H257" s="5"/>
      <c r="I257" s="7"/>
      <c r="J257" s="7"/>
      <c r="K257" s="7"/>
      <c r="L257" s="5"/>
      <c r="M257" s="18"/>
      <c r="N257" s="7"/>
      <c r="O257" s="13"/>
      <c r="P257" s="13"/>
      <c r="Q257" s="1"/>
    </row>
    <row r="258" spans="1:17" x14ac:dyDescent="0.25">
      <c r="A258" s="12"/>
      <c r="B258" s="11"/>
      <c r="C258" s="11"/>
      <c r="D258" s="10"/>
      <c r="E258" s="13"/>
      <c r="F258" s="15"/>
      <c r="G258" s="7"/>
      <c r="H258" s="5"/>
      <c r="I258" s="7"/>
      <c r="J258" s="7"/>
      <c r="K258" s="7"/>
      <c r="L258" s="5"/>
      <c r="M258" s="7"/>
      <c r="N258" s="7"/>
      <c r="O258" s="7"/>
      <c r="P258" s="7"/>
      <c r="Q258" s="1"/>
    </row>
    <row r="259" spans="1:17" x14ac:dyDescent="0.25">
      <c r="A259" s="8"/>
      <c r="B259" s="9"/>
      <c r="C259" s="10"/>
      <c r="D259" s="11"/>
      <c r="E259" s="13"/>
      <c r="F259" s="21"/>
      <c r="G259" s="7"/>
      <c r="H259" s="7"/>
      <c r="I259" s="7"/>
      <c r="J259" s="7"/>
      <c r="K259" s="7"/>
      <c r="L259" s="7"/>
      <c r="M259" s="7"/>
      <c r="N259" s="7"/>
      <c r="O259" s="7"/>
      <c r="P259" s="7"/>
      <c r="Q259" s="1"/>
    </row>
    <row r="260" spans="1:17" x14ac:dyDescent="0.25">
      <c r="A260" s="12"/>
      <c r="B260" s="11"/>
      <c r="C260" s="11"/>
      <c r="D260" s="10"/>
      <c r="E260" s="13"/>
      <c r="F260" s="15"/>
      <c r="G260" s="7"/>
      <c r="H260" s="5"/>
      <c r="I260" s="7"/>
      <c r="J260" s="7"/>
      <c r="K260" s="7"/>
      <c r="L260" s="5"/>
      <c r="M260" s="7"/>
      <c r="N260" s="7"/>
      <c r="O260" s="7"/>
      <c r="P260" s="7"/>
      <c r="Q260" s="1"/>
    </row>
    <row r="261" spans="1:17" x14ac:dyDescent="0.25">
      <c r="A261" s="12"/>
      <c r="B261" s="11"/>
      <c r="C261" s="11"/>
      <c r="D261" s="10"/>
      <c r="E261" s="13"/>
      <c r="F261" s="15"/>
      <c r="G261" s="7"/>
      <c r="H261" s="5"/>
      <c r="I261" s="7"/>
      <c r="J261" s="7"/>
      <c r="K261" s="7"/>
      <c r="L261" s="5"/>
      <c r="M261" s="18"/>
      <c r="N261" s="7"/>
      <c r="O261" s="13"/>
      <c r="P261" s="13"/>
      <c r="Q261" s="1"/>
    </row>
    <row r="262" spans="1:17" x14ac:dyDescent="0.25">
      <c r="A262" s="12"/>
      <c r="B262" s="11"/>
      <c r="C262" s="11"/>
      <c r="D262" s="10"/>
      <c r="E262" s="13"/>
      <c r="F262" s="15"/>
      <c r="G262" s="7"/>
      <c r="H262" s="5"/>
      <c r="I262" s="7"/>
      <c r="J262" s="7"/>
      <c r="K262" s="7"/>
      <c r="L262" s="5"/>
      <c r="M262" s="19"/>
      <c r="N262" s="7"/>
      <c r="O262" s="13"/>
      <c r="P262" s="13"/>
      <c r="Q262" s="1"/>
    </row>
    <row r="263" spans="1:17" x14ac:dyDescent="0.25">
      <c r="A263" s="12"/>
      <c r="B263" s="11"/>
      <c r="C263" s="11"/>
      <c r="D263" s="10"/>
      <c r="E263" s="13"/>
      <c r="F263" s="15"/>
      <c r="G263" s="7"/>
      <c r="H263" s="5"/>
      <c r="I263" s="7"/>
      <c r="J263" s="7"/>
      <c r="K263" s="7"/>
      <c r="L263" s="5"/>
      <c r="M263" s="18"/>
      <c r="N263" s="7"/>
      <c r="O263" s="13"/>
      <c r="P263" s="13"/>
      <c r="Q263" s="1"/>
    </row>
    <row r="264" spans="1:17" x14ac:dyDescent="0.25">
      <c r="A264" s="12"/>
      <c r="B264" s="11"/>
      <c r="C264" s="11"/>
      <c r="D264" s="10"/>
      <c r="E264" s="13"/>
      <c r="F264" s="15"/>
      <c r="G264" s="7"/>
      <c r="H264" s="5"/>
      <c r="I264" s="7"/>
      <c r="J264" s="7"/>
      <c r="K264" s="7"/>
      <c r="L264" s="5"/>
      <c r="M264" s="19"/>
      <c r="N264" s="7"/>
      <c r="O264" s="13"/>
      <c r="P264" s="13"/>
      <c r="Q264" s="1"/>
    </row>
    <row r="265" spans="1:17" x14ac:dyDescent="0.25">
      <c r="A265" s="12"/>
      <c r="B265" s="11"/>
      <c r="C265" s="11"/>
      <c r="D265" s="10"/>
      <c r="E265" s="13"/>
      <c r="F265" s="15"/>
      <c r="G265" s="7"/>
      <c r="H265" s="5"/>
      <c r="I265" s="7"/>
      <c r="J265" s="7"/>
      <c r="K265" s="7"/>
      <c r="L265" s="5"/>
      <c r="M265" s="7"/>
      <c r="N265" s="7"/>
      <c r="O265" s="7"/>
      <c r="P265" s="7"/>
      <c r="Q265" s="1"/>
    </row>
    <row r="266" spans="1:17" x14ac:dyDescent="0.25">
      <c r="A266" s="8"/>
      <c r="B266" s="9"/>
      <c r="C266" s="10"/>
      <c r="D266" s="11"/>
      <c r="E266" s="13"/>
      <c r="F266" s="21"/>
      <c r="G266" s="7"/>
      <c r="H266" s="7"/>
      <c r="I266" s="7"/>
      <c r="J266" s="7"/>
      <c r="K266" s="7"/>
      <c r="L266" s="7"/>
      <c r="M266" s="7"/>
      <c r="N266" s="7"/>
      <c r="O266" s="7"/>
      <c r="P266" s="7"/>
      <c r="Q266" s="1"/>
    </row>
    <row r="267" spans="1:17" x14ac:dyDescent="0.25">
      <c r="A267" s="12"/>
      <c r="B267" s="11"/>
      <c r="C267" s="11"/>
      <c r="D267" s="10"/>
      <c r="E267" s="13"/>
      <c r="F267" s="15"/>
      <c r="G267" s="7"/>
      <c r="H267" s="5"/>
      <c r="I267" s="7"/>
      <c r="J267" s="7"/>
      <c r="K267" s="7"/>
      <c r="L267" s="5"/>
      <c r="M267" s="7"/>
      <c r="N267" s="7"/>
      <c r="O267" s="7"/>
      <c r="P267" s="7"/>
      <c r="Q267" s="1"/>
    </row>
    <row r="268" spans="1:17" x14ac:dyDescent="0.25">
      <c r="A268" s="12"/>
      <c r="B268" s="11"/>
      <c r="C268" s="11"/>
      <c r="D268" s="10"/>
      <c r="E268" s="13"/>
      <c r="F268" s="15"/>
      <c r="G268" s="7"/>
      <c r="H268" s="5"/>
      <c r="I268" s="7"/>
      <c r="J268" s="7"/>
      <c r="K268" s="7"/>
      <c r="L268" s="5"/>
      <c r="M268" s="18"/>
      <c r="N268" s="7"/>
      <c r="O268" s="13"/>
      <c r="P268" s="13"/>
      <c r="Q268" s="1"/>
    </row>
    <row r="269" spans="1:17" x14ac:dyDescent="0.25">
      <c r="A269" s="12"/>
      <c r="B269" s="11"/>
      <c r="C269" s="11"/>
      <c r="D269" s="10"/>
      <c r="E269" s="13"/>
      <c r="F269" s="15"/>
      <c r="G269" s="7"/>
      <c r="H269" s="5"/>
      <c r="I269" s="7"/>
      <c r="J269" s="7"/>
      <c r="K269" s="7"/>
      <c r="L269" s="5"/>
      <c r="M269" s="7"/>
      <c r="N269" s="7"/>
      <c r="O269" s="7"/>
      <c r="P269" s="7"/>
      <c r="Q269" s="1"/>
    </row>
    <row r="270" spans="1:17" x14ac:dyDescent="0.25">
      <c r="A270" s="12"/>
      <c r="B270" s="11"/>
      <c r="C270" s="11"/>
      <c r="D270" s="10"/>
      <c r="E270" s="13"/>
      <c r="F270" s="15"/>
      <c r="G270" s="7"/>
      <c r="H270" s="5"/>
      <c r="I270" s="7"/>
      <c r="J270" s="7"/>
      <c r="K270" s="7"/>
      <c r="L270" s="5"/>
      <c r="M270" s="7"/>
      <c r="N270" s="7"/>
      <c r="O270" s="7"/>
      <c r="P270" s="7"/>
      <c r="Q270" s="1"/>
    </row>
    <row r="271" spans="1:17" x14ac:dyDescent="0.25">
      <c r="A271" s="12"/>
      <c r="B271" s="11"/>
      <c r="C271" s="11"/>
      <c r="D271" s="10"/>
      <c r="E271" s="13"/>
      <c r="F271" s="15"/>
      <c r="G271" s="7"/>
      <c r="H271" s="5"/>
      <c r="I271" s="7"/>
      <c r="J271" s="7"/>
      <c r="K271" s="7"/>
      <c r="L271" s="5"/>
      <c r="M271" s="7"/>
      <c r="N271" s="7"/>
      <c r="O271" s="7"/>
      <c r="P271" s="7"/>
      <c r="Q271" s="1"/>
    </row>
    <row r="272" spans="1:17" x14ac:dyDescent="0.25">
      <c r="A272" s="12"/>
      <c r="B272" s="11"/>
      <c r="C272" s="11"/>
      <c r="D272" s="10"/>
      <c r="E272" s="13"/>
      <c r="F272" s="15"/>
      <c r="G272" s="7"/>
      <c r="H272" s="5"/>
      <c r="I272" s="7"/>
      <c r="J272" s="7"/>
      <c r="K272" s="7"/>
      <c r="L272" s="5"/>
      <c r="M272" s="7"/>
      <c r="N272" s="7"/>
      <c r="O272" s="7"/>
      <c r="P272" s="7"/>
      <c r="Q272" s="1"/>
    </row>
    <row r="273" spans="1:17" x14ac:dyDescent="0.25">
      <c r="A273" s="8"/>
      <c r="B273" s="9"/>
      <c r="C273" s="10"/>
      <c r="D273" s="11"/>
      <c r="E273" s="13"/>
      <c r="F273" s="22"/>
      <c r="G273" s="7"/>
      <c r="H273" s="7"/>
      <c r="I273" s="7"/>
      <c r="J273" s="7"/>
      <c r="K273" s="7"/>
      <c r="L273" s="7"/>
      <c r="M273" s="7"/>
      <c r="N273" s="7"/>
      <c r="O273" s="7"/>
      <c r="P273" s="7"/>
      <c r="Q273" s="1"/>
    </row>
    <row r="274" spans="1:17" x14ac:dyDescent="0.25">
      <c r="A274" s="12"/>
      <c r="B274" s="11"/>
      <c r="C274" s="11"/>
      <c r="D274" s="10"/>
      <c r="E274" s="13"/>
      <c r="F274" s="15"/>
      <c r="G274" s="7"/>
      <c r="H274" s="7"/>
      <c r="I274" s="7"/>
      <c r="J274" s="7"/>
      <c r="K274" s="7"/>
      <c r="L274" s="5"/>
      <c r="M274" s="7"/>
      <c r="N274" s="7"/>
      <c r="O274" s="7"/>
      <c r="P274" s="7"/>
      <c r="Q274" s="1"/>
    </row>
    <row r="275" spans="1:17" x14ac:dyDescent="0.25">
      <c r="A275" s="12"/>
      <c r="B275" s="11"/>
      <c r="C275" s="11"/>
      <c r="D275" s="10"/>
      <c r="E275" s="13"/>
      <c r="F275" s="15"/>
      <c r="G275" s="7"/>
      <c r="H275" s="7"/>
      <c r="I275" s="7"/>
      <c r="J275" s="7"/>
      <c r="K275" s="7"/>
      <c r="L275" s="5"/>
      <c r="M275" s="7"/>
      <c r="N275" s="7"/>
      <c r="O275" s="7"/>
      <c r="P275" s="7"/>
      <c r="Q275" s="1"/>
    </row>
    <row r="276" spans="1:17" x14ac:dyDescent="0.25">
      <c r="A276" s="8"/>
      <c r="B276" s="9"/>
      <c r="C276" s="10"/>
      <c r="D276" s="11"/>
      <c r="E276" s="13"/>
      <c r="F276" s="21"/>
      <c r="G276" s="7"/>
      <c r="H276" s="7"/>
      <c r="I276" s="7"/>
      <c r="J276" s="7"/>
      <c r="K276" s="7"/>
      <c r="L276" s="7"/>
      <c r="M276" s="7"/>
      <c r="N276" s="7"/>
      <c r="O276" s="7"/>
      <c r="P276" s="7"/>
      <c r="Q276" s="1"/>
    </row>
    <row r="277" spans="1:17" x14ac:dyDescent="0.25">
      <c r="A277" s="12"/>
      <c r="B277" s="11"/>
      <c r="C277" s="11"/>
      <c r="D277" s="10"/>
      <c r="E277" s="13"/>
      <c r="F277" s="15"/>
      <c r="G277" s="7"/>
      <c r="H277" s="5"/>
      <c r="I277" s="7"/>
      <c r="J277" s="7"/>
      <c r="K277" s="7"/>
      <c r="L277" s="5"/>
      <c r="M277" s="7"/>
      <c r="N277" s="7"/>
      <c r="O277" s="7"/>
      <c r="P277" s="7"/>
      <c r="Q277" s="1"/>
    </row>
    <row r="278" spans="1:17" x14ac:dyDescent="0.25">
      <c r="A278" s="12"/>
      <c r="B278" s="11"/>
      <c r="C278" s="11"/>
      <c r="D278" s="10"/>
      <c r="E278" s="13"/>
      <c r="F278" s="15"/>
      <c r="G278" s="7"/>
      <c r="H278" s="5"/>
      <c r="I278" s="7"/>
      <c r="J278" s="7"/>
      <c r="K278" s="7"/>
      <c r="L278" s="5"/>
      <c r="M278" s="20"/>
      <c r="N278" s="7"/>
      <c r="O278" s="13"/>
      <c r="P278" s="7"/>
      <c r="Q278" s="1"/>
    </row>
    <row r="279" spans="1:17" x14ac:dyDescent="0.25">
      <c r="A279" s="12"/>
      <c r="B279" s="11"/>
      <c r="C279" s="11"/>
      <c r="D279" s="10"/>
      <c r="E279" s="13"/>
      <c r="F279" s="15"/>
      <c r="G279" s="7"/>
      <c r="H279" s="5"/>
      <c r="I279" s="7"/>
      <c r="J279" s="7"/>
      <c r="K279" s="7"/>
      <c r="L279" s="5"/>
      <c r="M279" s="7"/>
      <c r="N279" s="7"/>
      <c r="O279" s="7"/>
      <c r="P279" s="7"/>
      <c r="Q279" s="1"/>
    </row>
    <row r="280" spans="1:17" x14ac:dyDescent="0.25">
      <c r="A280" s="12"/>
      <c r="B280" s="11"/>
      <c r="C280" s="11"/>
      <c r="D280" s="10"/>
      <c r="E280" s="13"/>
      <c r="F280" s="15"/>
      <c r="G280" s="7"/>
      <c r="H280" s="5"/>
      <c r="I280" s="7"/>
      <c r="J280" s="7"/>
      <c r="K280" s="7"/>
      <c r="L280" s="5"/>
      <c r="M280" s="7"/>
      <c r="N280" s="7"/>
      <c r="O280" s="7"/>
      <c r="P280" s="7"/>
      <c r="Q280" s="1"/>
    </row>
    <row r="281" spans="1:17" x14ac:dyDescent="0.25">
      <c r="A281" s="12"/>
      <c r="B281" s="11"/>
      <c r="C281" s="11"/>
      <c r="D281" s="10"/>
      <c r="E281" s="13"/>
      <c r="F281" s="15"/>
      <c r="G281" s="7"/>
      <c r="H281" s="5"/>
      <c r="I281" s="7"/>
      <c r="J281" s="7"/>
      <c r="K281" s="7"/>
      <c r="L281" s="5"/>
      <c r="M281" s="7"/>
      <c r="N281" s="7"/>
      <c r="O281" s="7"/>
      <c r="P281" s="7"/>
      <c r="Q281" s="1"/>
    </row>
    <row r="282" spans="1:17" x14ac:dyDescent="0.25">
      <c r="A282" s="12"/>
      <c r="B282" s="11"/>
      <c r="C282" s="11"/>
      <c r="D282" s="10"/>
      <c r="E282" s="13"/>
      <c r="F282" s="15"/>
      <c r="G282" s="7"/>
      <c r="H282" s="5"/>
      <c r="I282" s="7"/>
      <c r="J282" s="7"/>
      <c r="K282" s="7"/>
      <c r="L282" s="5"/>
      <c r="M282" s="18"/>
      <c r="N282" s="7"/>
      <c r="O282" s="13"/>
      <c r="P282" s="7"/>
      <c r="Q282" s="1"/>
    </row>
    <row r="283" spans="1:17" x14ac:dyDescent="0.25">
      <c r="A283" s="12"/>
      <c r="B283" s="11"/>
      <c r="C283" s="11"/>
      <c r="D283" s="10"/>
      <c r="E283" s="13"/>
      <c r="F283" s="15"/>
      <c r="G283" s="7"/>
      <c r="H283" s="5"/>
      <c r="I283" s="7"/>
      <c r="J283" s="7"/>
      <c r="K283" s="7"/>
      <c r="L283" s="5"/>
      <c r="M283" s="18"/>
      <c r="N283" s="7"/>
      <c r="O283" s="13"/>
      <c r="P283" s="7"/>
      <c r="Q283" s="1"/>
    </row>
    <row r="284" spans="1:17" x14ac:dyDescent="0.25">
      <c r="A284" s="12"/>
      <c r="B284" s="11"/>
      <c r="C284" s="11"/>
      <c r="D284" s="10"/>
      <c r="E284" s="13"/>
      <c r="F284" s="15"/>
      <c r="G284" s="7"/>
      <c r="H284" s="5"/>
      <c r="I284" s="7"/>
      <c r="J284" s="7"/>
      <c r="K284" s="7"/>
      <c r="L284" s="5"/>
      <c r="M284" s="18"/>
      <c r="N284" s="7"/>
      <c r="O284" s="13"/>
      <c r="P284" s="7"/>
      <c r="Q284" s="1"/>
    </row>
    <row r="285" spans="1:17" x14ac:dyDescent="0.25">
      <c r="A285" s="8"/>
      <c r="B285" s="9"/>
      <c r="C285" s="10"/>
      <c r="D285" s="11"/>
      <c r="E285" s="13"/>
      <c r="F285" s="21"/>
      <c r="G285" s="7"/>
      <c r="H285" s="7"/>
      <c r="I285" s="7"/>
      <c r="J285" s="7"/>
      <c r="K285" s="7"/>
      <c r="L285" s="7"/>
      <c r="M285" s="7"/>
      <c r="N285" s="7"/>
      <c r="O285" s="7"/>
      <c r="P285" s="7"/>
      <c r="Q285" s="1"/>
    </row>
    <row r="286" spans="1:17" x14ac:dyDescent="0.25">
      <c r="A286" s="12"/>
      <c r="B286" s="11"/>
      <c r="C286" s="11"/>
      <c r="D286" s="10"/>
      <c r="E286" s="13"/>
      <c r="F286" s="15"/>
      <c r="G286" s="7"/>
      <c r="H286" s="5"/>
      <c r="I286" s="7"/>
      <c r="J286" s="7"/>
      <c r="K286" s="7"/>
      <c r="L286" s="5"/>
      <c r="M286" s="7"/>
      <c r="N286" s="7"/>
      <c r="O286" s="7"/>
      <c r="P286" s="7"/>
      <c r="Q286" s="1"/>
    </row>
    <row r="287" spans="1:17" x14ac:dyDescent="0.25">
      <c r="A287" s="12"/>
      <c r="B287" s="11"/>
      <c r="C287" s="11"/>
      <c r="D287" s="10"/>
      <c r="E287" s="13"/>
      <c r="F287" s="15"/>
      <c r="G287" s="7"/>
      <c r="H287" s="5"/>
      <c r="I287" s="7"/>
      <c r="J287" s="7"/>
      <c r="K287" s="7"/>
      <c r="L287" s="5"/>
      <c r="M287" s="7"/>
      <c r="N287" s="7"/>
      <c r="O287" s="7"/>
      <c r="P287" s="7"/>
      <c r="Q287" s="1"/>
    </row>
    <row r="288" spans="1:17" x14ac:dyDescent="0.25">
      <c r="A288" s="12"/>
      <c r="B288" s="11"/>
      <c r="C288" s="11"/>
      <c r="D288" s="10"/>
      <c r="E288" s="13"/>
      <c r="F288" s="15"/>
      <c r="G288" s="7"/>
      <c r="H288" s="5"/>
      <c r="I288" s="7"/>
      <c r="J288" s="7"/>
      <c r="K288" s="7"/>
      <c r="L288" s="5"/>
      <c r="M288" s="7"/>
      <c r="N288" s="7"/>
      <c r="O288" s="7"/>
      <c r="P288" s="7"/>
      <c r="Q288" s="1"/>
    </row>
    <row r="289" spans="1:17" x14ac:dyDescent="0.25">
      <c r="A289" s="12"/>
      <c r="B289" s="11"/>
      <c r="C289" s="11"/>
      <c r="D289" s="10"/>
      <c r="E289" s="13"/>
      <c r="F289" s="15"/>
      <c r="G289" s="7"/>
      <c r="H289" s="5"/>
      <c r="I289" s="7"/>
      <c r="J289" s="7"/>
      <c r="K289" s="7"/>
      <c r="L289" s="5"/>
      <c r="M289" s="7"/>
      <c r="N289" s="7"/>
      <c r="O289" s="7"/>
      <c r="P289" s="7"/>
      <c r="Q289" s="1"/>
    </row>
    <row r="290" spans="1:17" x14ac:dyDescent="0.25">
      <c r="A290" s="8"/>
      <c r="B290" s="9"/>
      <c r="C290" s="10"/>
      <c r="D290" s="11"/>
      <c r="E290" s="13"/>
      <c r="F290" s="21"/>
      <c r="G290" s="7"/>
      <c r="H290" s="7"/>
      <c r="I290" s="7"/>
      <c r="J290" s="7"/>
      <c r="K290" s="7"/>
      <c r="L290" s="7"/>
      <c r="M290" s="7"/>
      <c r="N290" s="7"/>
      <c r="O290" s="7"/>
      <c r="P290" s="7"/>
      <c r="Q290" s="1"/>
    </row>
    <row r="291" spans="1:17" x14ac:dyDescent="0.25">
      <c r="A291" s="12"/>
      <c r="B291" s="11"/>
      <c r="C291" s="11"/>
      <c r="D291" s="10"/>
      <c r="E291" s="13"/>
      <c r="F291" s="15"/>
      <c r="G291" s="7"/>
      <c r="H291" s="5"/>
      <c r="I291" s="7"/>
      <c r="J291" s="7"/>
      <c r="K291" s="7"/>
      <c r="L291" s="5"/>
      <c r="M291" s="7"/>
      <c r="N291" s="7"/>
      <c r="O291" s="7"/>
      <c r="P291" s="7"/>
      <c r="Q291" s="1"/>
    </row>
    <row r="292" spans="1:17" x14ac:dyDescent="0.25">
      <c r="A292" s="12"/>
      <c r="B292" s="11"/>
      <c r="C292" s="11"/>
      <c r="D292" s="10"/>
      <c r="E292" s="13"/>
      <c r="F292" s="15"/>
      <c r="G292" s="7"/>
      <c r="H292" s="5"/>
      <c r="I292" s="7"/>
      <c r="J292" s="7"/>
      <c r="K292" s="7"/>
      <c r="L292" s="5"/>
      <c r="M292" s="18"/>
      <c r="N292" s="7"/>
      <c r="O292" s="13"/>
      <c r="P292" s="7"/>
      <c r="Q292" s="1"/>
    </row>
    <row r="293" spans="1:17" x14ac:dyDescent="0.25">
      <c r="A293" s="12"/>
      <c r="B293" s="11"/>
      <c r="C293" s="11"/>
      <c r="D293" s="10"/>
      <c r="E293" s="13"/>
      <c r="F293" s="15"/>
      <c r="G293" s="7"/>
      <c r="H293" s="5"/>
      <c r="I293" s="7"/>
      <c r="J293" s="7"/>
      <c r="K293" s="7"/>
      <c r="L293" s="5"/>
      <c r="M293" s="18"/>
      <c r="N293" s="7"/>
      <c r="O293" s="13"/>
      <c r="P293" s="7"/>
      <c r="Q293" s="1"/>
    </row>
    <row r="294" spans="1:17" x14ac:dyDescent="0.25">
      <c r="A294" s="12"/>
      <c r="B294" s="11"/>
      <c r="C294" s="11"/>
      <c r="D294" s="10"/>
      <c r="E294" s="13"/>
      <c r="F294" s="15"/>
      <c r="G294" s="7"/>
      <c r="H294" s="5"/>
      <c r="I294" s="7"/>
      <c r="J294" s="7"/>
      <c r="K294" s="7"/>
      <c r="L294" s="5"/>
      <c r="M294" s="7"/>
      <c r="N294" s="7"/>
      <c r="O294" s="7"/>
      <c r="P294" s="7"/>
      <c r="Q294" s="1"/>
    </row>
    <row r="295" spans="1:17" x14ac:dyDescent="0.25">
      <c r="A295" s="8"/>
      <c r="B295" s="9"/>
      <c r="C295" s="10"/>
      <c r="D295" s="11"/>
      <c r="E295" s="13"/>
      <c r="F295" s="21"/>
      <c r="G295" s="7"/>
      <c r="H295" s="7"/>
      <c r="I295" s="7"/>
      <c r="J295" s="7"/>
      <c r="K295" s="7"/>
      <c r="L295" s="7"/>
      <c r="M295" s="7"/>
      <c r="N295" s="7"/>
      <c r="O295" s="7"/>
      <c r="P295" s="7"/>
      <c r="Q295" s="1"/>
    </row>
    <row r="296" spans="1:17" x14ac:dyDescent="0.25">
      <c r="A296" s="12"/>
      <c r="B296" s="11"/>
      <c r="C296" s="11"/>
      <c r="D296" s="10"/>
      <c r="E296" s="13"/>
      <c r="F296" s="15"/>
      <c r="G296" s="7"/>
      <c r="H296" s="5"/>
      <c r="I296" s="7"/>
      <c r="J296" s="7"/>
      <c r="K296" s="7"/>
      <c r="L296" s="5"/>
      <c r="M296" s="18"/>
      <c r="N296" s="7"/>
      <c r="O296" s="13"/>
      <c r="P296" s="13"/>
      <c r="Q296" s="1"/>
    </row>
    <row r="297" spans="1:17" x14ac:dyDescent="0.25">
      <c r="A297" s="12"/>
      <c r="B297" s="11"/>
      <c r="C297" s="11"/>
      <c r="D297" s="10"/>
      <c r="E297" s="13"/>
      <c r="F297" s="15"/>
      <c r="G297" s="7"/>
      <c r="H297" s="5"/>
      <c r="I297" s="7"/>
      <c r="J297" s="7"/>
      <c r="K297" s="7"/>
      <c r="L297" s="5"/>
      <c r="M297" s="7"/>
      <c r="N297" s="7"/>
      <c r="O297" s="7"/>
      <c r="P297" s="13"/>
      <c r="Q297" s="1"/>
    </row>
    <row r="298" spans="1:17" x14ac:dyDescent="0.25">
      <c r="A298" s="12"/>
      <c r="B298" s="11"/>
      <c r="C298" s="11"/>
      <c r="D298" s="10"/>
      <c r="E298" s="13"/>
      <c r="F298" s="15"/>
      <c r="G298" s="7"/>
      <c r="H298" s="5"/>
      <c r="I298" s="7"/>
      <c r="J298" s="7"/>
      <c r="K298" s="7"/>
      <c r="L298" s="5"/>
      <c r="M298" s="7"/>
      <c r="N298" s="7"/>
      <c r="O298" s="7"/>
      <c r="P298" s="13"/>
      <c r="Q298" s="1"/>
    </row>
    <row r="299" spans="1:17" x14ac:dyDescent="0.25">
      <c r="A299" s="12"/>
      <c r="B299" s="11"/>
      <c r="C299" s="11"/>
      <c r="D299" s="10"/>
      <c r="E299" s="13"/>
      <c r="F299" s="15"/>
      <c r="G299" s="7"/>
      <c r="H299" s="5"/>
      <c r="I299" s="7"/>
      <c r="J299" s="7"/>
      <c r="K299" s="7"/>
      <c r="L299" s="5"/>
      <c r="M299" s="7"/>
      <c r="N299" s="7"/>
      <c r="O299" s="7"/>
      <c r="P299" s="13"/>
      <c r="Q299" s="1"/>
    </row>
    <row r="300" spans="1:17" x14ac:dyDescent="0.25">
      <c r="A300" s="8"/>
      <c r="B300" s="9"/>
      <c r="C300" s="10"/>
      <c r="D300" s="11"/>
      <c r="E300" s="13"/>
      <c r="F300" s="21"/>
      <c r="G300" s="7"/>
      <c r="H300" s="7"/>
      <c r="I300" s="7"/>
      <c r="J300" s="7"/>
      <c r="K300" s="7"/>
      <c r="L300" s="7"/>
      <c r="M300" s="7"/>
      <c r="N300" s="7"/>
      <c r="O300" s="7"/>
      <c r="P300" s="7"/>
      <c r="Q300" s="1"/>
    </row>
    <row r="301" spans="1:17" x14ac:dyDescent="0.25">
      <c r="A301" s="12"/>
      <c r="B301" s="11"/>
      <c r="C301" s="11"/>
      <c r="D301" s="10"/>
      <c r="E301" s="13"/>
      <c r="F301" s="15"/>
      <c r="G301" s="7"/>
      <c r="H301" s="5"/>
      <c r="I301" s="7"/>
      <c r="J301" s="7"/>
      <c r="K301" s="7"/>
      <c r="L301" s="5"/>
      <c r="M301" s="7"/>
      <c r="N301" s="7"/>
      <c r="O301" s="7"/>
      <c r="P301" s="7"/>
      <c r="Q301" s="1"/>
    </row>
    <row r="302" spans="1:17" x14ac:dyDescent="0.25">
      <c r="A302" s="12"/>
      <c r="B302" s="11"/>
      <c r="C302" s="11"/>
      <c r="D302" s="10"/>
      <c r="E302" s="13"/>
      <c r="F302" s="15"/>
      <c r="G302" s="7"/>
      <c r="H302" s="5"/>
      <c r="I302" s="7"/>
      <c r="J302" s="7"/>
      <c r="K302" s="7"/>
      <c r="L302" s="5"/>
      <c r="M302" s="20"/>
      <c r="N302" s="7"/>
      <c r="O302" s="13"/>
      <c r="P302" s="13"/>
      <c r="Q302" s="1"/>
    </row>
    <row r="303" spans="1:17" x14ac:dyDescent="0.25">
      <c r="A303" s="12"/>
      <c r="B303" s="11"/>
      <c r="C303" s="11"/>
      <c r="D303" s="10"/>
      <c r="E303" s="13"/>
      <c r="F303" s="15"/>
      <c r="G303" s="7"/>
      <c r="H303" s="5"/>
      <c r="I303" s="7"/>
      <c r="J303" s="7"/>
      <c r="K303" s="7"/>
      <c r="L303" s="5"/>
      <c r="M303" s="20"/>
      <c r="N303" s="7"/>
      <c r="O303" s="13"/>
      <c r="P303" s="13"/>
      <c r="Q303" s="1"/>
    </row>
    <row r="304" spans="1:17" x14ac:dyDescent="0.25">
      <c r="A304" s="8"/>
      <c r="B304" s="9"/>
      <c r="C304" s="10"/>
      <c r="D304" s="11"/>
      <c r="E304" s="13"/>
      <c r="F304" s="21"/>
      <c r="G304" s="7"/>
      <c r="H304" s="7"/>
      <c r="I304" s="7"/>
      <c r="J304" s="7"/>
      <c r="K304" s="7"/>
      <c r="L304" s="7"/>
      <c r="M304" s="7"/>
      <c r="N304" s="7"/>
      <c r="O304" s="7"/>
      <c r="P304" s="7"/>
      <c r="Q304" s="1"/>
    </row>
    <row r="305" spans="1:17" x14ac:dyDescent="0.25">
      <c r="A305" s="12"/>
      <c r="B305" s="11"/>
      <c r="C305" s="11"/>
      <c r="D305" s="10"/>
      <c r="E305" s="13"/>
      <c r="F305" s="15"/>
      <c r="G305" s="7"/>
      <c r="H305" s="5"/>
      <c r="I305" s="7"/>
      <c r="J305" s="7"/>
      <c r="K305" s="7"/>
      <c r="L305" s="5"/>
      <c r="M305" s="7"/>
      <c r="N305" s="7"/>
      <c r="O305" s="7"/>
      <c r="P305" s="7"/>
      <c r="Q305" s="1"/>
    </row>
    <row r="306" spans="1:17" x14ac:dyDescent="0.25">
      <c r="A306" s="12"/>
      <c r="B306" s="11"/>
      <c r="C306" s="11"/>
      <c r="D306" s="10"/>
      <c r="E306" s="13"/>
      <c r="F306" s="15"/>
      <c r="G306" s="7"/>
      <c r="H306" s="5"/>
      <c r="I306" s="7"/>
      <c r="J306" s="7"/>
      <c r="K306" s="7"/>
      <c r="L306" s="5"/>
      <c r="M306" s="20"/>
      <c r="N306" s="7"/>
      <c r="O306" s="13"/>
      <c r="P306" s="13"/>
      <c r="Q306" s="1"/>
    </row>
    <row r="307" spans="1:17" x14ac:dyDescent="0.25">
      <c r="A307" s="12"/>
      <c r="B307" s="11"/>
      <c r="C307" s="11"/>
      <c r="D307" s="10"/>
      <c r="E307" s="13"/>
      <c r="F307" s="15"/>
      <c r="G307" s="7"/>
      <c r="H307" s="5"/>
      <c r="I307" s="7"/>
      <c r="J307" s="7"/>
      <c r="K307" s="7"/>
      <c r="L307" s="5"/>
      <c r="M307" s="20"/>
      <c r="N307" s="7"/>
      <c r="O307" s="13"/>
      <c r="P307" s="13"/>
      <c r="Q307" s="1"/>
    </row>
  </sheetData>
  <mergeCells count="2">
    <mergeCell ref="H5:K5"/>
    <mergeCell ref="L5:O5"/>
  </mergeCells>
  <dataValidations count="2">
    <dataValidation type="list" allowBlank="1" showErrorMessage="1" sqref="L7:L131 L133:L143 H7:H307 L145:L307">
      <formula1>"Đạt,Không đạt,Ảnh hưởng,Không kiểm thử được,Cần confirm,Cần cải thiện"</formula1>
    </dataValidation>
    <dataValidation type="list" allowBlank="1" showErrorMessage="1" sqref="K7:K307 O7:O307">
      <formula1>"Đang kiểm tra,Đang fix,Retest,Chờ cập nhật,Hoàn thành,Reject,Đã phản hồi"</formula1>
    </dataValidation>
  </dataValidations>
  <hyperlinks>
    <hyperlink ref="E6" r:id="rId1"/>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NGOQUY</cp:lastModifiedBy>
  <dcterms:modified xsi:type="dcterms:W3CDTF">2026-09-04T08:43:51Z</dcterms:modified>
</cp:coreProperties>
</file>